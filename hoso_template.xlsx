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15720" tabRatio="770" firstSheet="0" activeTab="0" autoFilterDateGrouping="1"/>
  </bookViews>
  <sheets>
    <sheet name="DATA" sheetId="1" state="visible" r:id="rId1"/>
    <sheet name="DanhMuc" sheetId="2" state="visible" r:id="rId2"/>
    <sheet name="PYC1_LapDatTinh" sheetId="3" state="visible" r:id="rId3"/>
    <sheet name="BB1_LapDatTinh" sheetId="4" state="visible" r:id="rId4"/>
    <sheet name="PYC2_DonDongKhongTai" sheetId="5" state="visible" r:id="rId5"/>
    <sheet name="BB2_DonDongKhongTai" sheetId="6" state="visible" r:id="rId6"/>
    <sheet name="PYC3_DonDongCoTai" sheetId="7" state="visible" r:id="rId7"/>
    <sheet name="BB3_DonDongCoTai" sheetId="8" state="visible" r:id="rId8"/>
    <sheet name="PYC4_LienDongKhongTai" sheetId="9" state="visible" r:id="rId9"/>
    <sheet name="BB4_LienDongKhongTai" sheetId="10" state="visible" r:id="rId10"/>
    <sheet name="PYC5_LienDongCoTai" sheetId="11" state="visible" r:id="rId11"/>
    <sheet name="BB5_LienDongCoTai" sheetId="12" state="visible" r:id="rId12"/>
    <sheet name="PYC6_HoanThanhHangMuc" sheetId="13" state="visible" r:id="rId13"/>
    <sheet name="BB6_HoanThanhHangMuc" sheetId="14" state="visible" r:id="rId14"/>
    <sheet name="BBG_BanGiao" sheetId="15" state="visible" r:id="rId15"/>
  </sheets>
  <definedNames>
    <definedName name="BenA_DiaChi">DATA!$C$18</definedName>
    <definedName name="BenA_NT1">DATA!$C$21</definedName>
    <definedName name="BenA_NT1_CV">DATA!$C$22</definedName>
    <definedName name="BenA_NT2">DATA!$C$23</definedName>
    <definedName name="BenA_NT2_CV">DATA!$C$24</definedName>
    <definedName name="BenA_PL">DATA!$C$19</definedName>
    <definedName name="BenA_PL_CV">DATA!$C$20</definedName>
    <definedName name="BenA_Ten">DATA!$C$17</definedName>
    <definedName name="BenB_DiaChi">DATA!$C$27</definedName>
    <definedName name="BenB_NT1">DATA!$C$30</definedName>
    <definedName name="BenB_NT1_CV">DATA!$C$31</definedName>
    <definedName name="BenB_NT2">DATA!$C$32</definedName>
    <definedName name="BenB_NT2_CV">DATA!$C$33</definedName>
    <definedName name="BenB_PL">DATA!$C$28</definedName>
    <definedName name="BenB_PL_CV">DATA!$C$29</definedName>
    <definedName name="BenB_Ten">DATA!$C$26</definedName>
    <definedName name="COCQ">DATA!$C$36</definedName>
    <definedName name="DiaDiem">DATA!$C$8</definedName>
    <definedName name="DuAn">DATA!$C$5</definedName>
    <definedName name="GoiThau">DATA!$C$6</definedName>
    <definedName name="HangMuc">DATA!$C$7</definedName>
    <definedName name="MaDA">DATA!$C$9</definedName>
    <definedName name="NgayBBVT">DATA!$C$15</definedName>
    <definedName name="NgayHD">DATA!$C$12</definedName>
    <definedName name="NgayPL">DATA!$C$14</definedName>
    <definedName name="NhaSX">DATA!$C$35</definedName>
    <definedName name="SoHD">DATA!$C$11</definedName>
    <definedName name="SoPL">DATA!$C$13</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Times New Roman"/>
      <charset val="1"/>
      <b val="1"/>
      <sz val="14"/>
    </font>
    <font>
      <name val="Times New Roman"/>
      <charset val="1"/>
      <i val="1"/>
      <sz val="11"/>
    </font>
    <font>
      <name val="Times New Roman"/>
      <charset val="1"/>
      <b val="1"/>
      <sz val="12"/>
    </font>
    <font>
      <name val="Times New Roman"/>
      <charset val="1"/>
      <sz val="11"/>
    </font>
    <font>
      <name val="Times New Roman"/>
      <charset val="1"/>
      <b val="1"/>
      <sz val="11"/>
    </font>
    <font>
      <name val="Times New Roman"/>
      <charset val="1"/>
      <i val="1"/>
      <sz val="10"/>
    </font>
    <font>
      <name val="Times New Roman"/>
      <charset val="1"/>
      <color rgb="FF0563C1"/>
      <sz val="11"/>
      <u val="single"/>
    </font>
    <font>
      <name val="Times New Roman"/>
      <charset val="1"/>
      <b val="1"/>
      <sz val="13"/>
    </font>
    <font>
      <name val="Times New Roman"/>
      <charset val="1"/>
      <sz val="12"/>
    </font>
    <font>
      <name val="Times New Roman"/>
      <charset val="1"/>
      <i val="1"/>
      <sz val="12"/>
    </font>
  </fonts>
  <fills count="5">
    <fill>
      <patternFill/>
    </fill>
    <fill>
      <patternFill patternType="gray125"/>
    </fill>
    <fill>
      <patternFill patternType="solid">
        <fgColor rgb="FFDCE6F1"/>
        <bgColor rgb="FFD9D9D9"/>
      </patternFill>
    </fill>
    <fill>
      <patternFill patternType="solid">
        <fgColor rgb="FFFFF2CC"/>
        <bgColor rgb="FFFFFFFF"/>
      </patternFill>
    </fill>
    <fill>
      <patternFill patternType="solid">
        <fgColor rgb="FFD9D9D9"/>
        <bgColor rgb="FFDCE6F1"/>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44">
    <xf numFmtId="0" fontId="0" fillId="0" borderId="0" pivotButton="0" quotePrefix="0" xfId="0"/>
    <xf numFmtId="0" fontId="4" fillId="0" borderId="1" applyAlignment="1" pivotButton="0" quotePrefix="0" xfId="0">
      <alignment horizontal="left" vertical="center" wrapText="1"/>
    </xf>
    <xf numFmtId="0" fontId="5" fillId="2" borderId="1" applyAlignment="1" pivotButton="0" quotePrefix="0" xfId="0">
      <alignment horizontal="center" vertical="center" wrapText="1"/>
    </xf>
    <xf numFmtId="0" fontId="10" fillId="0" borderId="0" applyAlignment="1" pivotButton="0" quotePrefix="0" xfId="0">
      <alignment horizontal="left" vertical="top" wrapText="1"/>
    </xf>
    <xf numFmtId="0" fontId="3"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right" vertical="top" wrapText="1"/>
    </xf>
    <xf numFmtId="0" fontId="9" fillId="0" borderId="0" applyAlignment="1" pivotButton="0" quotePrefix="0" xfId="0">
      <alignment horizontal="center" vertical="top" wrapText="1"/>
    </xf>
    <xf numFmtId="0" fontId="8" fillId="0" borderId="0" applyAlignment="1" pivotButton="0" quotePrefix="0" xfId="0">
      <alignment horizontal="center" vertical="top" wrapText="1"/>
    </xf>
    <xf numFmtId="0" fontId="6" fillId="0" borderId="0" applyAlignment="1" pivotButton="0" quotePrefix="0" xfId="0">
      <alignment horizontal="center" vertical="top" wrapText="1"/>
    </xf>
    <xf numFmtId="0" fontId="3" fillId="2" borderId="1" applyAlignment="1" pivotButton="0" quotePrefix="0" xfId="0">
      <alignment horizontal="left" vertical="center" wrapText="1"/>
    </xf>
    <xf numFmtId="0" fontId="2" fillId="0" borderId="0" applyAlignment="1" pivotButton="0" quotePrefix="0" xfId="0">
      <alignment horizontal="center" vertical="top" wrapText="1"/>
    </xf>
    <xf numFmtId="0" fontId="1" fillId="0" borderId="0" applyAlignment="1" pivotButton="0" quotePrefix="0" xfId="0">
      <alignment horizontal="center" vertical="top" wrapText="1"/>
    </xf>
    <xf numFmtId="0" fontId="4" fillId="0" borderId="1" applyAlignment="1" pivotButton="0" quotePrefix="0" xfId="0">
      <alignment vertical="center" wrapText="1"/>
    </xf>
    <xf numFmtId="0" fontId="5" fillId="3" borderId="1" applyAlignment="1" pivotButton="0" quotePrefix="0" xfId="0">
      <alignment vertical="center" wrapText="1"/>
    </xf>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0" borderId="0" applyAlignment="1" pivotButton="0" quotePrefix="0" xfId="0">
      <alignment horizontal="center" vertical="top" wrapText="1"/>
    </xf>
    <xf numFmtId="0" fontId="9" fillId="0" borderId="0" applyAlignment="1" pivotButton="0" quotePrefix="0" xfId="0">
      <alignment horizontal="left" vertical="top" wrapText="1" indent="1"/>
    </xf>
    <xf numFmtId="0" fontId="3" fillId="0" borderId="0" applyAlignment="1" pivotButton="0" quotePrefix="0" xfId="0">
      <alignment horizontal="left" vertical="top" wrapText="1" indent="1"/>
    </xf>
    <xf numFmtId="0" fontId="9" fillId="0" borderId="0" applyAlignment="1" pivotButton="0" quotePrefix="0" xfId="0">
      <alignment horizontal="left" vertical="top" wrapText="1" indent="2"/>
    </xf>
    <xf numFmtId="0" fontId="10" fillId="0" borderId="0" applyAlignment="1" pivotButton="0" quotePrefix="0" xfId="0">
      <alignment horizontal="center" vertical="top" wrapText="1"/>
    </xf>
    <xf numFmtId="0" fontId="5" fillId="2" borderId="1" applyAlignment="1" pivotButton="0" quotePrefix="0" xfId="0">
      <alignment horizontal="left" vertical="center" wrapText="1"/>
    </xf>
    <xf numFmtId="0" fontId="10" fillId="0" borderId="0" applyAlignment="1" pivotButton="0" quotePrefix="0" xfId="0">
      <alignment horizontal="left" vertical="top" wrapText="1" indent="1"/>
    </xf>
    <xf numFmtId="0" fontId="4" fillId="0" borderId="0" applyAlignment="1" pivotButton="0" quotePrefix="0" xfId="0">
      <alignment horizontal="righ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right" vertical="center" wrapText="1"/>
    </xf>
    <xf numFmtId="0"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4" fillId="0" borderId="0"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oSo_NghiemThu_P3_HACC1-TNC.xlsx" TargetMode="External" Id="rId1" /><Relationship Type="http://schemas.openxmlformats.org/officeDocument/2006/relationships/hyperlink" Target="HoSo_NghiemThu_P3_HACC1-TNC.xlsx" TargetMode="External" Id="rId2" /><Relationship Type="http://schemas.openxmlformats.org/officeDocument/2006/relationships/hyperlink" Target="HoSo_NghiemThu_P3_HACC1-TNC.xlsx" TargetMode="External" Id="rId3" /><Relationship Type="http://schemas.openxmlformats.org/officeDocument/2006/relationships/hyperlink" Target="HoSo_NghiemThu_P3_HACC1-TNC.xlsx" TargetMode="External" Id="rId4" /><Relationship Type="http://schemas.openxmlformats.org/officeDocument/2006/relationships/hyperlink" Target="HoSo_NghiemThu_P3_HACC1-TNC.xlsx" TargetMode="External" Id="rId5" /><Relationship Type="http://schemas.openxmlformats.org/officeDocument/2006/relationships/hyperlink" Target="HoSo_NghiemThu_P3_HACC1-TNC.xlsx" TargetMode="External" Id="rId6" /><Relationship Type="http://schemas.openxmlformats.org/officeDocument/2006/relationships/hyperlink" Target="HoSo_NghiemThu_P3_HACC1-TNC.xlsx" TargetMode="External" Id="rId7" /><Relationship Type="http://schemas.openxmlformats.org/officeDocument/2006/relationships/hyperlink" Target="HoSo_NghiemThu_P3_HACC1-TNC.xlsx" TargetMode="External" Id="rId8" /><Relationship Type="http://schemas.openxmlformats.org/officeDocument/2006/relationships/hyperlink" Target="HoSo_NghiemThu_P3_HACC1-TNC.xlsx" TargetMode="External" Id="rId9" /><Relationship Type="http://schemas.openxmlformats.org/officeDocument/2006/relationships/hyperlink" Target="HoSo_NghiemThu_P3_HACC1-TNC.xlsx" TargetMode="External" Id="rId10" /><Relationship Type="http://schemas.openxmlformats.org/officeDocument/2006/relationships/hyperlink" Target="HoSo_NghiemThu_P3_HACC1-TNC.xlsx" TargetMode="External" Id="rId11" /><Relationship Type="http://schemas.openxmlformats.org/officeDocument/2006/relationships/hyperlink" Target="HoSo_NghiemThu_P3_HACC1-TNC.xlsx" TargetMode="External" Id="rId12" /><Relationship Type="http://schemas.openxmlformats.org/officeDocument/2006/relationships/hyperlink" Target="HoSo_NghiemThu_P3_HACC1-TNC.xlsx" TargetMode="External" Id="rId13" /></Relationships>
</file>

<file path=xl/worksheets/sheet1.xml><?xml version="1.0" encoding="utf-8"?>
<worksheet xmlns="http://schemas.openxmlformats.org/spreadsheetml/2006/main">
  <sheetPr>
    <outlinePr summaryBelow="1" summaryRight="1"/>
    <pageSetUpPr fitToPage="1"/>
  </sheetPr>
  <dimension ref="B1:C36"/>
  <sheetViews>
    <sheetView tabSelected="1" topLeftCell="A16" zoomScaleNormal="100" workbookViewId="0">
      <selection activeCell="S12" sqref="S12"/>
    </sheetView>
  </sheetViews>
  <sheetFormatPr baseColWidth="8" defaultColWidth="8.7109375" defaultRowHeight="15"/>
  <cols>
    <col width="3" customWidth="1" min="1" max="1"/>
    <col width="34" customWidth="1" min="2" max="2"/>
    <col width="75" customWidth="1" min="3" max="3"/>
    <col width="14" customWidth="1" min="4" max="4"/>
  </cols>
  <sheetData>
    <row r="1" ht="21.75" customHeight="1">
      <c r="B1" s="12" t="inlineStr">
        <is>
          <t>BẢNG DỮ LIỆU DÙNG CHUNG - HỒ SƠ NGHIỆM THU THANG MÁY P3</t>
        </is>
      </c>
    </row>
    <row r="2" ht="18" customHeight="1">
      <c r="B2" s="11" t="inlineStr">
        <is>
          <t>Cập nhật giá trị tại cột "Giá trị" (ô nền vàng); toàn bộ các sheet Phiếu yêu cầu và Biên bản sẽ tự động cập nhật theo.</t>
        </is>
      </c>
    </row>
    <row r="4" ht="18" customHeight="1">
      <c r="B4" s="10" t="inlineStr">
        <is>
          <t>THÔNG TIN DỰ ÁN</t>
        </is>
      </c>
      <c r="C4" s="42" t="n"/>
    </row>
    <row r="5" ht="33.75" customHeight="1">
      <c r="B5" s="13" t="inlineStr">
        <is>
          <t>Dự án</t>
        </is>
      </c>
      <c r="C5" s="14" t="n"/>
    </row>
    <row r="6" ht="33.75" customHeight="1">
      <c r="B6" s="13" t="inlineStr">
        <is>
          <t>Gói thầu</t>
        </is>
      </c>
      <c r="C6" s="14" t="n"/>
    </row>
    <row r="7" ht="18" customHeight="1">
      <c r="B7" s="13" t="inlineStr">
        <is>
          <t>Hạng mục</t>
        </is>
      </c>
      <c r="C7" s="14" t="n"/>
    </row>
    <row r="8" ht="18" customHeight="1">
      <c r="B8" s="13" t="inlineStr">
        <is>
          <t>Địa điểm</t>
        </is>
      </c>
      <c r="C8" s="14" t="n"/>
    </row>
    <row r="9" ht="18" customHeight="1">
      <c r="B9" s="13" t="inlineStr">
        <is>
          <t>Mã hồ sơ (dự án)</t>
        </is>
      </c>
      <c r="C9" s="14" t="n"/>
    </row>
    <row r="10" ht="18" customHeight="1">
      <c r="B10" s="10" t="inlineStr">
        <is>
          <t>HỢP ĐỒNG</t>
        </is>
      </c>
      <c r="C10" s="42" t="n"/>
    </row>
    <row r="11" ht="18" customHeight="1">
      <c r="B11" s="13" t="inlineStr">
        <is>
          <t>Số hợp đồng</t>
        </is>
      </c>
      <c r="C11" s="14" t="n"/>
    </row>
    <row r="12" ht="18" customHeight="1">
      <c r="B12" s="13" t="inlineStr">
        <is>
          <t>Ngày ký hợp đồng</t>
        </is>
      </c>
      <c r="C12" s="14" t="n"/>
    </row>
    <row r="13" ht="18" customHeight="1">
      <c r="B13" s="13" t="inlineStr">
        <is>
          <t>Số phụ lục hợp đồng</t>
        </is>
      </c>
      <c r="C13" s="14" t="n"/>
    </row>
    <row r="14" ht="18" customHeight="1">
      <c r="B14" s="13" t="inlineStr">
        <is>
          <t>Ngày ký phụ lục</t>
        </is>
      </c>
      <c r="C14" s="14" t="n"/>
    </row>
    <row r="15" ht="18" customHeight="1">
      <c r="B15" s="13" t="inlineStr">
        <is>
          <t>Ngày BB nghiệm thu vật tư thiết bị</t>
        </is>
      </c>
      <c r="C15" s="14" t="n"/>
    </row>
    <row r="16" ht="18" customHeight="1">
      <c r="B16" s="10" t="inlineStr">
        <is>
          <t>BÊN A (BÊN MUA)</t>
        </is>
      </c>
      <c r="C16" s="42" t="n"/>
    </row>
    <row r="17" ht="18" customHeight="1">
      <c r="B17" s="13" t="inlineStr">
        <is>
          <t>Tên Bên A</t>
        </is>
      </c>
      <c r="C17" s="14" t="n"/>
    </row>
    <row r="18" ht="18" customHeight="1">
      <c r="B18" s="13" t="inlineStr">
        <is>
          <t>Địa chỉ Bên A</t>
        </is>
      </c>
      <c r="C18" s="14" t="n"/>
    </row>
    <row r="19" ht="18" customHeight="1">
      <c r="B19" s="13" t="inlineStr">
        <is>
          <t>Đại diện pháp luật Bên A</t>
        </is>
      </c>
      <c r="C19" s="14" t="n"/>
    </row>
    <row r="20" ht="18" customHeight="1">
      <c r="B20" s="13" t="inlineStr">
        <is>
          <t>Chức vụ ĐD pháp luật Bên A</t>
        </is>
      </c>
      <c r="C20" s="14" t="n"/>
    </row>
    <row r="21" ht="15.75" customHeight="1">
      <c r="B21" s="13" t="inlineStr">
        <is>
          <t>Đại diện nghiệm thu 1 Bên A</t>
        </is>
      </c>
      <c r="C21" s="14" t="n"/>
    </row>
    <row r="22" ht="15.75" customHeight="1">
      <c r="B22" s="13" t="inlineStr">
        <is>
          <t>Chức vụ ĐD nghiệm thu 1 Bên A</t>
        </is>
      </c>
      <c r="C22" s="14" t="n"/>
    </row>
    <row r="23" ht="15.75" customHeight="1">
      <c r="B23" s="13" t="inlineStr">
        <is>
          <t>Đại diện nghiệm thu 2 Bên A</t>
        </is>
      </c>
      <c r="C23" s="14" t="n"/>
    </row>
    <row r="24" ht="15.75" customHeight="1">
      <c r="B24" s="13" t="inlineStr">
        <is>
          <t>Chức vụ ĐD nghiệm thu 2 Bên A</t>
        </is>
      </c>
      <c r="C24" s="14" t="n"/>
    </row>
    <row r="25" ht="18" customHeight="1">
      <c r="B25" s="10" t="inlineStr">
        <is>
          <t>BÊN B (BÊN BÁN)</t>
        </is>
      </c>
      <c r="C25" s="42" t="n"/>
    </row>
    <row r="26" ht="18" customHeight="1">
      <c r="B26" s="13" t="inlineStr">
        <is>
          <t>Tên Bên B</t>
        </is>
      </c>
      <c r="C26" s="14" t="n"/>
    </row>
    <row r="27" ht="33.75" customHeight="1">
      <c r="B27" s="13" t="inlineStr">
        <is>
          <t>Địa chỉ Bên B</t>
        </is>
      </c>
      <c r="C27" s="14" t="n"/>
    </row>
    <row r="28" ht="18" customHeight="1">
      <c r="B28" s="13" t="inlineStr">
        <is>
          <t>Đại diện pháp luật Bên B</t>
        </is>
      </c>
      <c r="C28" s="14" t="n"/>
    </row>
    <row r="29" ht="18" customHeight="1">
      <c r="B29" s="13" t="inlineStr">
        <is>
          <t>Chức vụ ĐD pháp luật Bên B</t>
        </is>
      </c>
      <c r="C29" s="14" t="n"/>
    </row>
    <row r="30" ht="15.75" customHeight="1">
      <c r="B30" s="13" t="inlineStr">
        <is>
          <t>Đại diện nghiệm thu 1 Bên B</t>
        </is>
      </c>
      <c r="C30" s="14" t="n"/>
    </row>
    <row r="31" ht="15.75" customHeight="1">
      <c r="B31" s="13" t="inlineStr">
        <is>
          <t>Chức vụ ĐD nghiệm thu 1 Bên B</t>
        </is>
      </c>
      <c r="C31" s="14" t="n"/>
    </row>
    <row r="32" ht="15.75" customHeight="1">
      <c r="B32" s="13" t="inlineStr">
        <is>
          <t>Đại diện nghiệm thu 2 Bên B</t>
        </is>
      </c>
      <c r="C32" s="14" t="n"/>
    </row>
    <row r="33" ht="15.75" customHeight="1">
      <c r="B33" s="13" t="inlineStr">
        <is>
          <t>Chức vụ ĐD nghiệm thu 2 Bên B</t>
        </is>
      </c>
      <c r="C33" s="14" t="n"/>
    </row>
    <row r="34" ht="18" customHeight="1">
      <c r="B34" s="10" t="inlineStr">
        <is>
          <t>THIẾT BỊ</t>
        </is>
      </c>
      <c r="C34" s="42" t="n"/>
    </row>
    <row r="35" ht="18" customHeight="1">
      <c r="B35" s="13" t="inlineStr">
        <is>
          <t>Nhà sản xuất</t>
        </is>
      </c>
      <c r="C35" s="14" t="n"/>
    </row>
    <row r="36" ht="18" customHeight="1">
      <c r="B36" s="13" t="inlineStr">
        <is>
          <t>Giấy xuất xưởng, số lô (CO, CQ)</t>
        </is>
      </c>
      <c r="C36" s="14" t="n"/>
    </row>
  </sheetData>
  <mergeCells count="7">
    <mergeCell ref="B16:C16"/>
    <mergeCell ref="B2:C2"/>
    <mergeCell ref="B25:C25"/>
    <mergeCell ref="B34:C34"/>
    <mergeCell ref="B10:C10"/>
    <mergeCell ref="B1:C1"/>
    <mergeCell ref="B4:C4"/>
  </mergeCells>
  <pageMargins left="0.6" right="0.4" top="0.5" bottom="0.5" header="0.511811023622047" footer="0.511811023622047"/>
  <pageSetup orientation="portrait" paperSize="9" fitToHeight="0" horizontalDpi="300" verticalDpi="300"/>
</worksheet>
</file>

<file path=xl/worksheets/sheet2.xml><?xml version="1.0" encoding="utf-8"?>
<worksheet xmlns="http://schemas.openxmlformats.org/spreadsheetml/2006/main">
  <sheetPr>
    <tabColor rgb="FFED7D31"/>
    <outlinePr summaryBelow="1" summaryRight="1"/>
    <pageSetUpPr fitToPage="1"/>
  </sheetPr>
  <dimension ref="A1:I17"/>
  <sheetViews>
    <sheetView view="pageBreakPreview" zoomScale="130" zoomScaleNormal="100" zoomScaleSheetLayoutView="130" workbookViewId="0">
      <pane ySplit="4" topLeftCell="A5" activePane="bottomLeft" state="frozen"/>
      <selection pane="bottomLeft" activeCell="A1" sqref="A1:I1"/>
    </sheetView>
  </sheetViews>
  <sheetFormatPr baseColWidth="8" defaultColWidth="8.7109375" defaultRowHeight="15"/>
  <cols>
    <col width="5" customWidth="1" min="1" max="1"/>
    <col width="10" customWidth="1" min="2" max="2"/>
    <col width="44" customWidth="1" min="3" max="3"/>
    <col width="27" customWidth="1" min="4" max="4"/>
    <col width="13" customWidth="1" min="5" max="5"/>
    <col width="10" customWidth="1" min="6" max="7"/>
    <col width="13" customWidth="1" min="8" max="8"/>
    <col width="20" customWidth="1" min="9" max="9"/>
  </cols>
  <sheetData>
    <row r="1" ht="21.75" customHeight="1">
      <c r="A1" s="12" t="inlineStr">
        <is>
          <t>DANH MỤC HỒ SƠ NGHIỆM THU THANG MÁY P3</t>
        </is>
      </c>
    </row>
    <row r="2" ht="30" customHeight="1">
      <c r="A2" s="9" t="inlineStr">
        <is>
          <t>Nhập Ngày phát hành / Giờ bắt đầu / Giờ kết thúc / Ngày nghiệm thu tại các ô nền vàng (ngày dạng dd/mm/yyyy, ví dụ 05/02/2026; giờ dạng 08h30). Tên tài liệu sửa tại cột C; Số hiệu tự động theo Mã hồ sơ ở sheet DATA. Toàn bộ các sheet Phiếu yêu cầu và Biên bản sẽ tự cập nhật theo.</t>
        </is>
      </c>
    </row>
    <row r="4" ht="25.5" customHeight="1">
      <c r="A4" s="15" t="inlineStr">
        <is>
          <t>STT</t>
        </is>
      </c>
      <c r="B4" s="15" t="inlineStr">
        <is>
          <t>Loại</t>
        </is>
      </c>
      <c r="C4" s="15" t="inlineStr">
        <is>
          <t>Tên tài liệu</t>
        </is>
      </c>
      <c r="D4" s="15" t="inlineStr">
        <is>
          <t>Số hiệu</t>
        </is>
      </c>
      <c r="E4" s="15" t="inlineStr">
        <is>
          <t>Ngày phát hành</t>
        </is>
      </c>
      <c r="F4" s="15" t="inlineStr">
        <is>
          <t>Giờ bắt đầu</t>
        </is>
      </c>
      <c r="G4" s="15" t="inlineStr">
        <is>
          <t>Giờ kết thúc</t>
        </is>
      </c>
      <c r="H4" s="15" t="inlineStr">
        <is>
          <t>Ngày nghiệm thu</t>
        </is>
      </c>
      <c r="I4" s="15" t="inlineStr">
        <is>
          <t>Sheet</t>
        </is>
      </c>
    </row>
    <row r="5" ht="25.5" customHeight="1">
      <c r="A5" s="22" t="inlineStr">
        <is>
          <t>1</t>
        </is>
      </c>
      <c r="B5" s="22" t="inlineStr">
        <is>
          <t>Phiếu YC</t>
        </is>
      </c>
      <c r="C5" s="17" t="inlineStr">
        <is>
          <t>Phiếu yêu cầu nghiệm thu lắp đặt tĩnh thiết bị thang máy</t>
        </is>
      </c>
      <c r="D5" s="18">
        <f>"1/TM/PYCNTLĐT-TB/"&amp;MaDA&amp;"-P3"</f>
        <v/>
      </c>
      <c r="E5" s="19" t="n"/>
      <c r="F5" s="19" t="n"/>
      <c r="G5" s="20" t="n"/>
      <c r="H5" s="19" t="n"/>
      <c r="I5" s="21" t="inlineStr">
        <is>
          <t>PYC1_LapDatTinh</t>
        </is>
      </c>
    </row>
    <row r="6" ht="25.5" customHeight="1">
      <c r="A6" s="22" t="n"/>
      <c r="B6" s="22" t="inlineStr">
        <is>
          <t>Biên bản</t>
        </is>
      </c>
      <c r="C6" s="17" t="inlineStr">
        <is>
          <t>Biên bản nghiệm thu lắp đặt tĩnh thang máy P3</t>
        </is>
      </c>
      <c r="D6" s="18">
        <f>"1/TM/BBNLT/"&amp;MaDA&amp;"-P3"</f>
        <v/>
      </c>
      <c r="E6" s="19" t="n"/>
      <c r="F6" s="19" t="n"/>
      <c r="G6" s="19" t="n"/>
      <c r="H6" s="19" t="n"/>
      <c r="I6" s="21" t="inlineStr">
        <is>
          <t>BB1_LapDatTinh</t>
        </is>
      </c>
    </row>
    <row r="7" ht="25.5" customHeight="1">
      <c r="A7" s="22" t="inlineStr">
        <is>
          <t>2</t>
        </is>
      </c>
      <c r="B7" s="22" t="inlineStr">
        <is>
          <t>Phiếu YC</t>
        </is>
      </c>
      <c r="C7" s="17" t="inlineStr">
        <is>
          <t>Phiếu yêu cầu nghiệm thu chạy thử đơn động không tải thang máy</t>
        </is>
      </c>
      <c r="D7" s="18">
        <f>"2/TM/PYCNTĐĐKT-TB/"&amp;MaDA&amp;"-P3"</f>
        <v/>
      </c>
      <c r="E7" s="19" t="n"/>
      <c r="F7" s="19" t="n"/>
      <c r="G7" s="20" t="n"/>
      <c r="H7" s="19" t="n"/>
      <c r="I7" s="21" t="inlineStr">
        <is>
          <t>PYC2_DonDongKhongTai</t>
        </is>
      </c>
    </row>
    <row r="8" ht="25.5" customHeight="1">
      <c r="A8" s="22" t="n"/>
      <c r="B8" s="22" t="inlineStr">
        <is>
          <t>Biên bản</t>
        </is>
      </c>
      <c r="C8" s="17" t="inlineStr">
        <is>
          <t>Biên bản nghiệm thu chạy thử đơn động không tải thang máy P3</t>
        </is>
      </c>
      <c r="D8" s="18">
        <f>"2/TM/BBNCTDDKT/"&amp;MaDA&amp;"-P3"</f>
        <v/>
      </c>
      <c r="E8" s="19" t="n"/>
      <c r="F8" s="19" t="n"/>
      <c r="G8" s="19" t="n"/>
      <c r="H8" s="19" t="n"/>
      <c r="I8" s="21" t="inlineStr">
        <is>
          <t>BB2_DonDongKhongTai</t>
        </is>
      </c>
    </row>
    <row r="9" ht="25.5" customHeight="1">
      <c r="A9" s="22" t="inlineStr">
        <is>
          <t>3</t>
        </is>
      </c>
      <c r="B9" s="22" t="inlineStr">
        <is>
          <t>Phiếu YC</t>
        </is>
      </c>
      <c r="C9" s="17" t="inlineStr">
        <is>
          <t>Phiếu yêu cầu nghiệm thu chạy thử đơn động có tải thang máy</t>
        </is>
      </c>
      <c r="D9" s="18">
        <f>"3/TM/PYCNTĐĐCT-TB/"&amp;MaDA&amp;"-P3"</f>
        <v/>
      </c>
      <c r="E9" s="19" t="n"/>
      <c r="F9" s="19" t="n"/>
      <c r="G9" s="20" t="n"/>
      <c r="H9" s="19" t="n"/>
      <c r="I9" s="21" t="inlineStr">
        <is>
          <t>PYC3_DonDongCoTai</t>
        </is>
      </c>
    </row>
    <row r="10" ht="25.5" customHeight="1">
      <c r="A10" s="22" t="n"/>
      <c r="B10" s="22" t="inlineStr">
        <is>
          <t>Biên bản</t>
        </is>
      </c>
      <c r="C10" s="17" t="inlineStr">
        <is>
          <t>Biên bản nghiệm thu chạy thử đơn động có tải thang máy P3</t>
        </is>
      </c>
      <c r="D10" s="18">
        <f>"3/TM/BBNCTDDCT/"&amp;MaDA&amp;"-P3"</f>
        <v/>
      </c>
      <c r="E10" s="19" t="n"/>
      <c r="F10" s="19" t="n"/>
      <c r="G10" s="19" t="n"/>
      <c r="H10" s="19" t="n"/>
      <c r="I10" s="21" t="inlineStr">
        <is>
          <t>BB3_DonDongCoTai</t>
        </is>
      </c>
    </row>
    <row r="11" ht="25.5" customHeight="1">
      <c r="A11" s="22" t="inlineStr">
        <is>
          <t>4</t>
        </is>
      </c>
      <c r="B11" s="22" t="inlineStr">
        <is>
          <t>Phiếu YC</t>
        </is>
      </c>
      <c r="C11" s="17" t="inlineStr">
        <is>
          <t>Phiếu yêu cầu nghiệm thu chạy thử liên động không tải thang máy</t>
        </is>
      </c>
      <c r="D11" s="18">
        <f>"4/TM/PYCNTLĐKT-TB/"&amp;MaDA&amp;"-P3"</f>
        <v/>
      </c>
      <c r="E11" s="19" t="n"/>
      <c r="F11" s="19" t="n"/>
      <c r="G11" s="20" t="n"/>
      <c r="H11" s="19" t="n"/>
      <c r="I11" s="21" t="inlineStr">
        <is>
          <t>PYC4_LienDongKhongTai</t>
        </is>
      </c>
    </row>
    <row r="12" ht="25.5" customHeight="1">
      <c r="A12" s="22" t="n"/>
      <c r="B12" s="22" t="inlineStr">
        <is>
          <t>Biên bản</t>
        </is>
      </c>
      <c r="C12" s="17" t="inlineStr">
        <is>
          <t>Biên bản nghiệm thu chạy thử liên động không tải thang máy P3</t>
        </is>
      </c>
      <c r="D12" s="18">
        <f>"4/TM/BBNCTLDKT/"&amp;MaDA&amp;"-P3"</f>
        <v/>
      </c>
      <c r="E12" s="19" t="n"/>
      <c r="F12" s="19" t="n"/>
      <c r="G12" s="19" t="n"/>
      <c r="H12" s="19" t="n"/>
      <c r="I12" s="21" t="inlineStr">
        <is>
          <t>BB4_LienDongKhongTai</t>
        </is>
      </c>
    </row>
    <row r="13" ht="25.5" customHeight="1">
      <c r="A13" s="22" t="inlineStr">
        <is>
          <t>5</t>
        </is>
      </c>
      <c r="B13" s="22" t="inlineStr">
        <is>
          <t>Phiếu YC</t>
        </is>
      </c>
      <c r="C13" s="17" t="inlineStr">
        <is>
          <t>Phiếu yêu cầu nghiệm thu chạy thử liên động có tải thang máy</t>
        </is>
      </c>
      <c r="D13" s="18">
        <f>"5/TM/PYCNTLĐCT-TB/"&amp;MaDA&amp;"-P3"</f>
        <v/>
      </c>
      <c r="E13" s="19" t="n"/>
      <c r="F13" s="19" t="n"/>
      <c r="G13" s="20" t="n"/>
      <c r="H13" s="19" t="n"/>
      <c r="I13" s="21" t="inlineStr">
        <is>
          <t>PYC5_LienDongCoTai</t>
        </is>
      </c>
    </row>
    <row r="14" ht="25.5" customHeight="1">
      <c r="A14" s="22" t="n"/>
      <c r="B14" s="22" t="inlineStr">
        <is>
          <t>Biên bản</t>
        </is>
      </c>
      <c r="C14" s="17" t="inlineStr">
        <is>
          <t>Biên bản nghiệm thu chạy thử liên động có tải thang máy P3</t>
        </is>
      </c>
      <c r="D14" s="18">
        <f>"5/TM/BBNCTLDCT/"&amp;MaDA&amp;"-P3"</f>
        <v/>
      </c>
      <c r="E14" s="19" t="n"/>
      <c r="F14" s="19" t="n"/>
      <c r="G14" s="19" t="n"/>
      <c r="H14" s="19" t="n"/>
      <c r="I14" s="21" t="inlineStr">
        <is>
          <t>BB5_LienDongCoTai</t>
        </is>
      </c>
    </row>
    <row r="15" ht="25.5" customHeight="1">
      <c r="A15" s="22" t="inlineStr">
        <is>
          <t>6</t>
        </is>
      </c>
      <c r="B15" s="22" t="inlineStr">
        <is>
          <t>Phiếu YC</t>
        </is>
      </c>
      <c r="C15" s="17" t="inlineStr">
        <is>
          <t>Phiếu yêu cầu nghiệm thu hoàn thành hạng mục thang máy</t>
        </is>
      </c>
      <c r="D15" s="18">
        <f>"6/TM/PYCNTHTHM-TB/"&amp;MaDA&amp;"-P3"</f>
        <v/>
      </c>
      <c r="E15" s="19" t="n"/>
      <c r="F15" s="19" t="n"/>
      <c r="G15" s="20" t="n"/>
      <c r="H15" s="19" t="n"/>
      <c r="I15" s="21" t="inlineStr">
        <is>
          <t>PYC6_HoanThanhHangMuc</t>
        </is>
      </c>
    </row>
    <row r="16" ht="25.5" customHeight="1">
      <c r="A16" s="22" t="n"/>
      <c r="B16" s="22" t="inlineStr">
        <is>
          <t>Biên bản</t>
        </is>
      </c>
      <c r="C16" s="17" t="inlineStr">
        <is>
          <t>Biên bản nghiệm thu hoàn thành hạng mục đưa vào sử dụng</t>
        </is>
      </c>
      <c r="D16" s="18">
        <f>"6/TM/BBNTHM/"&amp;MaDA&amp;"-P3"</f>
        <v/>
      </c>
      <c r="E16" s="19" t="n"/>
      <c r="F16" s="19" t="n"/>
      <c r="G16" s="19" t="n"/>
      <c r="H16" s="19" t="n"/>
      <c r="I16" s="21" t="inlineStr">
        <is>
          <t>BB6_HoanThanhHangMuc</t>
        </is>
      </c>
    </row>
    <row r="17" ht="25.5" customHeight="1">
      <c r="A17" s="22" t="inlineStr">
        <is>
          <t>7</t>
        </is>
      </c>
      <c r="B17" s="22" t="inlineStr">
        <is>
          <t>Bàn giao</t>
        </is>
      </c>
      <c r="C17" s="17" t="inlineStr">
        <is>
          <t>Biên bản bàn giao thang máy</t>
        </is>
      </c>
      <c r="D17" s="18">
        <f>"7/TM/BBBG/"&amp;MaDA&amp;"-P3"</f>
        <v/>
      </c>
      <c r="E17" s="19" t="n"/>
      <c r="F17" s="20" t="n"/>
      <c r="G17" s="20" t="n"/>
      <c r="H17" s="20" t="n"/>
      <c r="I17" s="21" t="inlineStr">
        <is>
          <t>BBG_BanGiao</t>
        </is>
      </c>
    </row>
  </sheetData>
  <mergeCells count="2">
    <mergeCell ref="A1:I1"/>
    <mergeCell ref="A2:I2"/>
  </mergeCells>
  <hyperlinks>
    <hyperlink xmlns:r="http://schemas.openxmlformats.org/officeDocument/2006/relationships" ref="I5" location="PYC1_LapDatTinh!A1" r:id="rId1"/>
    <hyperlink xmlns:r="http://schemas.openxmlformats.org/officeDocument/2006/relationships" ref="I6" location="BB1_LapDatTinh!A1" r:id="rId2"/>
    <hyperlink xmlns:r="http://schemas.openxmlformats.org/officeDocument/2006/relationships" ref="I7" location="PYC2_DonDongKhongTai!A1" r:id="rId3"/>
    <hyperlink xmlns:r="http://schemas.openxmlformats.org/officeDocument/2006/relationships" ref="I8" location="BB2_DonDongKhongTai!A1" r:id="rId4"/>
    <hyperlink xmlns:r="http://schemas.openxmlformats.org/officeDocument/2006/relationships" ref="I9" location="PYC3_DonDongCoTai!A1" r:id="rId5"/>
    <hyperlink xmlns:r="http://schemas.openxmlformats.org/officeDocument/2006/relationships" ref="I10" location="BB3_DonDongCoTai!A1" r:id="rId6"/>
    <hyperlink xmlns:r="http://schemas.openxmlformats.org/officeDocument/2006/relationships" ref="I11" location="PYC4_LienDongKhongTai!A1" r:id="rId7"/>
    <hyperlink xmlns:r="http://schemas.openxmlformats.org/officeDocument/2006/relationships" ref="I12" location="BB4_LienDongKhongTai!A1" r:id="rId8"/>
    <hyperlink xmlns:r="http://schemas.openxmlformats.org/officeDocument/2006/relationships" ref="I13" location="PYC5_LienDongCoTai!A1" r:id="rId9"/>
    <hyperlink xmlns:r="http://schemas.openxmlformats.org/officeDocument/2006/relationships" ref="I14" location="BB5_LienDongCoTai!A1" r:id="rId10"/>
    <hyperlink xmlns:r="http://schemas.openxmlformats.org/officeDocument/2006/relationships" ref="I15" location="PYC6_HoanThanhHangMuc!A1" r:id="rId11"/>
    <hyperlink xmlns:r="http://schemas.openxmlformats.org/officeDocument/2006/relationships" ref="I16" location="BB6_HoanThanhHangMuc!A1" r:id="rId12"/>
    <hyperlink xmlns:r="http://schemas.openxmlformats.org/officeDocument/2006/relationships" ref="I17" location="BBG_BanGiao!A1" r:id="rId13"/>
  </hyperlinks>
  <pageMargins left="0.75" right="0.75" top="1" bottom="1" header="0.511811023622047" footer="0.511811023622047"/>
  <pageSetup orientation="landscape" paperSize="9" scale="85" fitToHeight="0" horizontalDpi="300" verticalDpi="300"/>
</worksheet>
</file>

<file path=xl/worksheets/sheet3.xml><?xml version="1.0" encoding="utf-8"?>
<worksheet xmlns="http://schemas.openxmlformats.org/spreadsheetml/2006/main">
  <sheetPr>
    <tabColor rgb="FF4472C4"/>
    <outlinePr summaryBelow="1" summaryRight="1"/>
    <pageSetUpPr fitToPage="1"/>
  </sheetPr>
  <dimension ref="A1:J31"/>
  <sheetViews>
    <sheetView view="pageBreakPreview" zoomScale="115" zoomScaleNormal="100" zoomScaleSheetLayoutView="115"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"&amp;IF(LEN(DanhMuc!$E$5)=10,"ngày "&amp;LEFT(DanhMuc!$E$5,2)&amp;" tháng "&amp;MID(DanhMuc!$E$5,4,2)&amp;" năm "&amp;RIGHT(DanhMuc!$E$5,4),"ngày …... tháng …... năm 2026")&amp;"."</f>
        <v/>
      </c>
    </row>
    <row r="5" ht="18" customHeight="1">
      <c r="A5" s="8" t="inlineStr">
        <is>
          <t>PHIẾU YÊU CẦU NGHIỆM THU</t>
        </is>
      </c>
    </row>
    <row r="6" ht="18" customHeight="1">
      <c r="A6" s="8">
        <f>UPPER(SUBSTITUTE(DanhMuc!$C$5,"Phiếu yêu cầu nghiệm thu ",""))</f>
        <v/>
      </c>
    </row>
    <row r="7" ht="18" customHeight="1">
      <c r="A7" s="8">
        <f>"SỐ: "&amp;DanhMuc!$D$5</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lắp đặt đảm bảo các yêu cầu kỹ thuật và đủ điều kiện nghiệm thu.</t>
        </is>
      </c>
    </row>
    <row r="24" ht="18" customHeight="1">
      <c r="A24" s="4">
        <f>"Đề nghị Bên A (Bên Mua) - "&amp;BenA_Ten&amp;" tổ chức nghiệm thu:"</f>
        <v/>
      </c>
    </row>
    <row r="25" ht="18" customHeight="1">
      <c r="A25" s="5">
        <f>"Thời gian nghiệm thu:      "&amp;IF(DanhMuc!$F$5="","10h00",DanhMuc!$F$5)&amp;" "&amp;IF(LEN(DanhMuc!$H$5)=10,"Ngày "&amp;LEFT(DanhMuc!$H$5,2)&amp;" Tháng "&amp;MID(DanhMuc!$H$5,4,2)&amp;" Năm "&amp;RIGHT(DanhMuc!$H$5,4),"Ngày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lắp đặt tĩnh số "&amp;DanhMuc!$D$6&amp;"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4.xml><?xml version="1.0" encoding="utf-8"?>
<worksheet xmlns="http://schemas.openxmlformats.org/spreadsheetml/2006/main">
  <sheetPr>
    <tabColor rgb="FF70AD47"/>
    <outlinePr summaryBelow="1" summaryRight="1"/>
    <pageSetUpPr fitToPage="1"/>
  </sheetPr>
  <dimension ref="A1:J122"/>
  <sheetViews>
    <sheetView view="pageBreakPreview" topLeftCell="A94"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c r="A1" s="23" t="n"/>
    </row>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"&amp;IF(LEN(DanhMuc!$E$6)=10,"ngày "&amp;LEFT(DanhMuc!$E$6,2)&amp;" tháng "&amp;MID(DanhMuc!$E$6,4,2)&amp;" năm "&amp;RIGHT(DanhMuc!$E$6,4),"ngày …... tháng …... năm 2026")</f>
        <v/>
      </c>
    </row>
    <row r="6" ht="18" customHeight="1">
      <c r="A6" s="8">
        <f>UPPER(DanhMuc!$C$6)</f>
        <v/>
      </c>
    </row>
    <row r="7" ht="18" customHeight="1">
      <c r="A7" s="8">
        <f>"SỐ: "&amp;DanhMuc!$D$6</f>
        <v/>
      </c>
    </row>
    <row r="8" ht="18" customHeight="1">
      <c r="A8" s="5">
        <f>"Dự án: "&amp;DuAn</f>
        <v/>
      </c>
    </row>
    <row r="9" ht="33.75" customHeight="1">
      <c r="A9" s="5">
        <f>"Gói thầu: "&amp;GoiThau</f>
        <v/>
      </c>
    </row>
    <row r="10" ht="18" customHeight="1">
      <c r="A10" s="5">
        <f>"Hạng mục: "&amp;HangMuc</f>
        <v/>
      </c>
    </row>
    <row r="11" ht="33.75" customHeight="1">
      <c r="A11" s="5">
        <f>"Địa điểm: "&amp;DiaDiem</f>
        <v/>
      </c>
    </row>
    <row r="12" ht="33.75" customHeight="1">
      <c r="A12" s="4" t="inlineStr">
        <is>
          <t>1. Đối tượng nghiệm thu:</t>
        </is>
      </c>
    </row>
    <row r="13" ht="33.75" customHeight="1">
      <c r="A13" s="24" t="inlineStr">
        <is>
          <t>Thang máy P3 (thang máy chở người/PCCC có phòng máy, nhãn hiệu Schindler) và toàn bộ thiết bị, phụ kiện đi kèm - Nghiệm thu lắp đặt tĩnh.</t>
        </is>
      </c>
    </row>
    <row r="14" ht="33.75" customHeight="1">
      <c r="A14" s="4" t="inlineStr">
        <is>
          <t>2. Thành phần nghiệm thu:</t>
        </is>
      </c>
    </row>
    <row r="15" ht="18" customHeight="1">
      <c r="A15" s="24">
        <f>"- Đại diện Bên A (Bên Mua): "&amp;BenA_Ten</f>
        <v/>
      </c>
    </row>
    <row r="16" ht="33.75" customHeight="1">
      <c r="A16" s="24">
        <f>"  Ông/Bà: "&amp;IF(BenA_NT1="","…......................................",BenA_NT1)&amp;"          Chức vụ: "&amp;IF(BenA_NT1_CV="","…....................",BenA_NT1_CV)</f>
        <v/>
      </c>
    </row>
    <row r="17" ht="18" customHeight="1">
      <c r="A17" s="24">
        <f>"  Ông/Bà: "&amp;IF(BenA_NT2="","…......................................",BenA_NT2)&amp;"          Chức vụ: "&amp;IF(BenA_NT2_CV="","…....................",BenA_NT2_CV)</f>
        <v/>
      </c>
    </row>
    <row r="18" ht="18" customHeight="1">
      <c r="A18" s="24">
        <f>"- Đại diện Bên B (Bên Bán): "&amp;BenB_Ten</f>
        <v/>
      </c>
    </row>
    <row r="19" ht="18" customHeight="1">
      <c r="A19" s="24">
        <f>"  Ông/Bà: "&amp;IF(BenB_NT1="","…......................................",BenB_NT1)&amp;"          Chức vụ: "&amp;IF(BenB_NT1_CV="","…....................",BenB_NT1_CV)</f>
        <v/>
      </c>
    </row>
    <row r="20" ht="33.75" customHeight="1">
      <c r="A20" s="24">
        <f>"  Ông/Bà: "&amp;IF(BenB_NT2="","…......................................",BenB_NT2)&amp;"          Chức vụ: "&amp;IF(BenB_NT2_CV="","…....................",BenB_NT2_CV)</f>
        <v/>
      </c>
    </row>
    <row r="21" ht="18" customHeight="1">
      <c r="A21" s="4" t="inlineStr">
        <is>
          <t>3. Thời gian và địa điểm nghiệm thu:</t>
        </is>
      </c>
    </row>
    <row r="22" ht="18" customHeight="1">
      <c r="A22" s="24">
        <f>"- Bắt đầu: "&amp;IF(DanhMuc!$F$6="","…....... giờ …....... phút",DanhMuc!$F$6)&amp;", "&amp;IF(LEN(DanhMuc!$H$6)=10,"ngày "&amp;LEFT(DanhMuc!$H$6,2)&amp;" tháng "&amp;MID(DanhMuc!$H$6,4,2)&amp;" năm "&amp;RIGHT(DanhMuc!$H$6,4),"ngày …....... tháng …....... năm 2026")</f>
        <v/>
      </c>
    </row>
    <row r="23" ht="33.75" customHeight="1">
      <c r="A23" s="24">
        <f>"- Kết thúc: "&amp;IF(DanhMuc!$G$6="","…....... giờ …....... phút",DanhMuc!$G$6)&amp;", "&amp;IF(LEN(DanhMuc!$H$6)=10,"ngày "&amp;LEFT(DanhMuc!$H$6,2)&amp;" tháng "&amp;MID(DanhMuc!$H$6,4,2)&amp;" năm "&amp;RIGHT(DanhMuc!$H$6,4),"ngày …....... tháng …....... năm 2026")</f>
        <v/>
      </c>
    </row>
    <row r="24" ht="18" customHeight="1">
      <c r="A24" s="24" t="inlineStr">
        <is>
          <t>- Tại: Công trường Tòa nhà Trung tâm Điều hành, Khu Trung tâm ĐHQG Hà Nội, xã Hòa Lạc, Hà Nội</t>
        </is>
      </c>
    </row>
    <row r="25" ht="18" customHeight="1">
      <c r="A25" s="4" t="inlineStr">
        <is>
          <t>4. Căn cứ nghiệm thu:</t>
        </is>
      </c>
    </row>
    <row r="26" ht="18" customHeight="1">
      <c r="A26" s="25" t="inlineStr">
        <is>
          <t>a) Tài liệu pháp lý và hợp đồng:</t>
        </is>
      </c>
    </row>
    <row r="27" ht="18" customHeight="1">
      <c r="A27" s="26">
        <f>"- Hợp đồng mua bán số "&amp;SoHD&amp;" ký ngày "&amp;NgayHD&amp;" giữa "&amp;BenA_Ten&amp;" (Bên A) và "&amp;BenB_Ten&amp;" (Bên B)."</f>
        <v/>
      </c>
    </row>
    <row r="28" ht="18" customHeight="1">
      <c r="A28" s="26">
        <f>"- "&amp;"Phụ lục Hợp đồng số "&amp;SoPL&amp;" ký ngày "&amp;NgayPL&amp;" của Hợp đồng số "&amp;SoHD&amp;"."</f>
        <v/>
      </c>
    </row>
    <row r="29" ht="18" customHeight="1">
      <c r="A29" s="26" t="inlineStr">
        <is>
          <t>- Hồ sơ thiết kế, bản vẽ thi công thang máy được hai Bên phê duyệt.</t>
        </is>
      </c>
    </row>
    <row r="30" ht="18" customHeight="1">
      <c r="A30" s="26" t="inlineStr">
        <is>
          <t>- Biên bản phê duyệt vật liệu/thiết bị số: ….......</t>
        </is>
      </c>
    </row>
    <row r="31" ht="33.75" customHeight="1">
      <c r="A31" s="26">
        <f>"- Biên bản nghiệm thu vật tư thiết bị số: 1/TM/BBNTVL-TB/"&amp;MaDA&amp;" ngày "&amp;NgayBBVT&amp;"."</f>
        <v/>
      </c>
    </row>
    <row r="32" ht="33.75" customHeight="1">
      <c r="A32" s="25" t="inlineStr">
        <is>
          <t>b) Quy chuẩn, tiêu chuẩn áp dụng:</t>
        </is>
      </c>
    </row>
    <row r="33" ht="18" customHeight="1">
      <c r="A33" s="26" t="inlineStr">
        <is>
          <t>- Nghị định 06/2021/NĐ-CP: Quản lý chất lượng và bảo trì công trình xây dựng;</t>
        </is>
      </c>
    </row>
    <row r="34" ht="18" customHeight="1">
      <c r="A34" s="26" t="inlineStr">
        <is>
          <t>- Thông tư 10/2021/TT-BXD hướng dẫn thi hành Nghị định 06/2021/NĐ-CP;</t>
        </is>
      </c>
    </row>
    <row r="35" ht="18" customHeight="1">
      <c r="A35" s="26" t="inlineStr">
        <is>
          <t>- QCVN 02:2019/BLĐTBXH: Quy chuẩn kỹ thuật quốc gia về an toàn lao động đối với thang máy;</t>
        </is>
      </c>
    </row>
    <row r="36" ht="33.75" customHeight="1">
      <c r="A36" s="26" t="inlineStr">
        <is>
          <t>- TCVN 6396-20:2017 (EN 81-20:2014): Yêu cầu an toàn về cấu tạo và lắp đặt thang máy chở người;</t>
        </is>
      </c>
    </row>
    <row r="37" ht="18" customHeight="1">
      <c r="A37" s="26" t="inlineStr">
        <is>
          <t>- TCVN 6396-72:2010 (EN 81-72:2003): Thang máy chữa cháy - yêu cầu an toàn;</t>
        </is>
      </c>
    </row>
    <row r="38" ht="18" customHeight="1">
      <c r="A38" s="26" t="inlineStr">
        <is>
          <t>- Và các tiêu chuẩn liên quan khác.</t>
        </is>
      </c>
    </row>
    <row r="39" ht="33.75" customHeight="1">
      <c r="A39" s="25" t="inlineStr">
        <is>
          <t>c) Tài liệu kỹ thuật:</t>
        </is>
      </c>
    </row>
    <row r="40" ht="18" customHeight="1">
      <c r="A40" s="26" t="inlineStr">
        <is>
          <t>- Nhật ký thi công, nhật ký giám sát và các văn bản liên quan đến đối tượng nghiệm thu.</t>
        </is>
      </c>
    </row>
    <row r="41" ht="18" customHeight="1">
      <c r="A41" s="26" t="inlineStr">
        <is>
          <t>- Catalogue kỹ thuật và chứng chỉ chất lượng của nhà sản xuất Schindler.</t>
        </is>
      </c>
    </row>
    <row r="42" ht="18" customHeight="1">
      <c r="A42" s="4" t="inlineStr">
        <is>
          <t>5. Nội dung nghiệm thu lắp đặt tĩnh:</t>
        </is>
      </c>
    </row>
    <row r="43" ht="18" customHeight="1">
      <c r="A43" s="24" t="inlineStr">
        <is>
          <t>Kiểm tra sự phù hợp của toàn bộ thiết bị, kết cấu lắp đặt so với hồ sơ thiết kế và các tiêu chuẩn áp dụng. Kết quả chi tiết xem Phụ lục Checklist kèm theo.</t>
        </is>
      </c>
    </row>
    <row r="44" ht="18" customHeight="1">
      <c r="A44" s="4" t="inlineStr">
        <is>
          <t>6. Chất lượng lắp đặt:</t>
        </is>
      </c>
    </row>
    <row r="45" ht="18" customHeight="1">
      <c r="A45" s="24" t="inlineStr">
        <is>
          <t>- Đạt yêu cầu kỹ thuật theo thiết kế và tiêu chuẩn áp dụng.</t>
        </is>
      </c>
    </row>
    <row r="46" ht="33.75" customHeight="1">
      <c r="A46" s="5" t="inlineStr">
        <is>
          <t>7. Các ý kiến khác (nếu có):</t>
        </is>
      </c>
    </row>
    <row r="47" ht="7.5" customHeight="1">
      <c r="A47" s="24" t="inlineStr">
        <is>
          <t>-</t>
        </is>
      </c>
    </row>
    <row r="48" ht="96" customHeight="1">
      <c r="A48" s="4" t="inlineStr">
        <is>
          <t>5. Kết luận:</t>
        </is>
      </c>
    </row>
    <row r="49" ht="7.5" customHeight="1">
      <c r="A49" s="24" t="inlineStr">
        <is>
          <t>☑  Đồng ý nghiệm thu và cho phép triển khai bước tiếp theo.</t>
        </is>
      </c>
    </row>
    <row r="50" ht="7.5" customHeight="1">
      <c r="A50" s="24" t="inlineStr">
        <is>
          <t>☐  Không đồng ý nghiệm thu (lý do: ….................................................................)</t>
        </is>
      </c>
    </row>
    <row r="51" ht="18" customHeight="1"/>
    <row r="52" ht="18" customHeight="1">
      <c r="A52" s="23">
        <f>"ĐẠI DIỆN BÊN A
"&amp;UPPER(BenA_Ten)&amp;"
(Ký, ghi rõ họ tên)
…..............................."</f>
        <v/>
      </c>
      <c r="F52" s="23">
        <f>"ĐẠI DIỆN BÊN B
"&amp;UPPER(BenB_Ten)&amp;"
(Ký, ghi rõ họ tên)
…..............................."</f>
        <v/>
      </c>
    </row>
    <row r="53" ht="18" customHeight="1"/>
    <row r="54" ht="18" customHeight="1"/>
    <row r="55" ht="18" customHeight="1">
      <c r="A55" s="8" t="inlineStr">
        <is>
          <t>PHỤ LỤC</t>
        </is>
      </c>
    </row>
    <row r="56" ht="33.75" customHeight="1">
      <c r="A56" s="8" t="inlineStr">
        <is>
          <t>BẢNG KIỂM TRA (CHECKLIST) - NGHIỆM THU LẮP ĐẶT TĨNH</t>
        </is>
      </c>
    </row>
    <row r="57" ht="18" customHeight="1">
      <c r="A57" s="27">
        <f>"Kèm theo: "&amp;DanhMuc!$D$6</f>
        <v/>
      </c>
    </row>
    <row r="58" ht="33.75" customHeight="1">
      <c r="A58" s="5" t="inlineStr">
        <is>
          <t>Thang máy: P3 - Thang máy chở người/PCCC có phòng máy (Schindler)</t>
        </is>
      </c>
    </row>
    <row r="59" ht="33.75" customHeight="1">
      <c r="A59" s="5" t="inlineStr">
        <is>
          <t>Căn cứ: TCVN 6396-20:2017 (EN 81-20:2014) &amp; TCVN 6396-72:2010 (EN 81-72:2003)</t>
        </is>
      </c>
    </row>
    <row r="60" ht="33.75" customHeight="1">
      <c r="A60" s="15" t="inlineStr">
        <is>
          <t>STT</t>
        </is>
      </c>
      <c r="B60" s="15" t="inlineStr">
        <is>
          <t>Nội dung kiểm tra</t>
        </is>
      </c>
      <c r="C60" s="43" t="n"/>
      <c r="D60" s="42" t="n"/>
      <c r="E60" s="15" t="inlineStr">
        <is>
          <t>Yêu cầu kỹ thuật / Tham chiếu</t>
        </is>
      </c>
      <c r="F60" s="43" t="n"/>
      <c r="G60" s="42" t="n"/>
      <c r="H60" s="15" t="inlineStr">
        <is>
          <t>Kết quả thực tế</t>
        </is>
      </c>
      <c r="I60" s="15" t="inlineStr">
        <is>
          <t>Đánh giá</t>
        </is>
      </c>
      <c r="J60" s="15" t="inlineStr">
        <is>
          <t>Ghi chú</t>
        </is>
      </c>
    </row>
    <row r="61" ht="33.75" customHeight="1">
      <c r="A61" s="28" t="inlineStr">
        <is>
          <t>A. HỐ THANG &amp; BUỒNG MÁY (TCVN 6396-20:2017 §5)</t>
        </is>
      </c>
      <c r="B61" s="43" t="n"/>
      <c r="C61" s="43" t="n"/>
      <c r="D61" s="43" t="n"/>
      <c r="E61" s="43" t="n"/>
      <c r="F61" s="43" t="n"/>
      <c r="G61" s="43" t="n"/>
      <c r="H61" s="43" t="n"/>
      <c r="I61" s="43" t="n"/>
      <c r="J61" s="42" t="n"/>
    </row>
    <row r="62" ht="33.75" customHeight="1">
      <c r="A62" s="22" t="inlineStr">
        <is>
          <t>A.1</t>
        </is>
      </c>
      <c r="B62" s="18" t="inlineStr">
        <is>
          <t>Kích thước hố thang (chiều rộng, sâu) đúng thiết kế</t>
        </is>
      </c>
      <c r="C62" s="43" t="n"/>
      <c r="D62" s="42" t="n"/>
      <c r="E62" s="18" t="inlineStr">
        <is>
          <t>Theo bản vẽ thiết kế được duyệt; §5.2.1</t>
        </is>
      </c>
      <c r="F62" s="43" t="n"/>
      <c r="G62" s="42" t="n"/>
      <c r="H62" s="22" t="inlineStr">
        <is>
          <t>Đạt</t>
        </is>
      </c>
      <c r="I62" s="22" t="inlineStr">
        <is>
          <t>☑ Đạt</t>
        </is>
      </c>
      <c r="J62" s="18" t="n"/>
    </row>
    <row r="63" ht="33.75" customHeight="1">
      <c r="A63" s="22" t="inlineStr">
        <is>
          <t>A.2</t>
        </is>
      </c>
      <c r="B63" s="18" t="inlineStr">
        <is>
          <t>Chiều cao trên đỉnh (overhead) ≥ giá trị thiết kế</t>
        </is>
      </c>
      <c r="C63" s="43" t="n"/>
      <c r="D63" s="42" t="n"/>
      <c r="E63" s="18" t="inlineStr">
        <is>
          <t>§5.7.1 - tối thiểu theo tính toán</t>
        </is>
      </c>
      <c r="F63" s="43" t="n"/>
      <c r="G63" s="42" t="n"/>
      <c r="H63" s="22" t="inlineStr">
        <is>
          <t>Đạt</t>
        </is>
      </c>
      <c r="I63" s="22" t="inlineStr">
        <is>
          <t>☑ Đạt</t>
        </is>
      </c>
      <c r="J63" s="18" t="n"/>
    </row>
    <row r="64" ht="18" customHeight="1">
      <c r="A64" s="22" t="inlineStr">
        <is>
          <t>A.3</t>
        </is>
      </c>
      <c r="B64" s="18" t="inlineStr">
        <is>
          <t>Hố pit đủ chiều sâu, có đèn chiếu sáng và ổ cắm</t>
        </is>
      </c>
      <c r="C64" s="43" t="n"/>
      <c r="D64" s="42" t="n"/>
      <c r="E64" s="18" t="inlineStr">
        <is>
          <t>§5.7.2, §5.5.1</t>
        </is>
      </c>
      <c r="F64" s="43" t="n"/>
      <c r="G64" s="42" t="n"/>
      <c r="H64" s="22" t="inlineStr">
        <is>
          <t>Đạt</t>
        </is>
      </c>
      <c r="I64" s="22" t="inlineStr">
        <is>
          <t>☑ Đạt</t>
        </is>
      </c>
      <c r="J64" s="18" t="n"/>
    </row>
    <row r="65" ht="33.75" customHeight="1">
      <c r="A65" s="22" t="inlineStr">
        <is>
          <t>A.4</t>
        </is>
      </c>
      <c r="B65" s="18" t="inlineStr">
        <is>
          <t>Thang trèo hố pit đủ tiêu chuẩn, cửa pit có khóa an toàn</t>
        </is>
      </c>
      <c r="C65" s="43" t="n"/>
      <c r="D65" s="42" t="n"/>
      <c r="E65" s="18" t="inlineStr">
        <is>
          <t>§5.7.3</t>
        </is>
      </c>
      <c r="F65" s="43" t="n"/>
      <c r="G65" s="42" t="n"/>
      <c r="H65" s="22" t="inlineStr">
        <is>
          <t>Đạt</t>
        </is>
      </c>
      <c r="I65" s="22" t="inlineStr">
        <is>
          <t>☑ Đạt</t>
        </is>
      </c>
      <c r="J65" s="18" t="n"/>
    </row>
    <row r="66" ht="33.75" customHeight="1">
      <c r="A66" s="22" t="inlineStr">
        <is>
          <t>A.5</t>
        </is>
      </c>
      <c r="B66" s="18" t="inlineStr">
        <is>
          <t>Phòng máy: kích thước, thông gió, ánh sáng, sàn chịu tải</t>
        </is>
      </c>
      <c r="C66" s="43" t="n"/>
      <c r="D66" s="42" t="n"/>
      <c r="E66" s="18" t="inlineStr">
        <is>
          <t>§6.3, §6.4</t>
        </is>
      </c>
      <c r="F66" s="43" t="n"/>
      <c r="G66" s="42" t="n"/>
      <c r="H66" s="22" t="inlineStr">
        <is>
          <t>Đạt</t>
        </is>
      </c>
      <c r="I66" s="22" t="inlineStr">
        <is>
          <t>☑ Đạt</t>
        </is>
      </c>
      <c r="J66" s="18" t="n"/>
    </row>
    <row r="67" ht="33.75" customHeight="1">
      <c r="A67" s="22" t="inlineStr">
        <is>
          <t>A.6</t>
        </is>
      </c>
      <c r="B67" s="18" t="inlineStr">
        <is>
          <t>Lối vào phòng máy độc lập, có khóa và biển cảnh báo</t>
        </is>
      </c>
      <c r="C67" s="43" t="n"/>
      <c r="D67" s="42" t="n"/>
      <c r="E67" s="18" t="inlineStr">
        <is>
          <t>§6.2</t>
        </is>
      </c>
      <c r="F67" s="43" t="n"/>
      <c r="G67" s="42" t="n"/>
      <c r="H67" s="22" t="inlineStr">
        <is>
          <t>Đạt</t>
        </is>
      </c>
      <c r="I67" s="22" t="inlineStr">
        <is>
          <t>☑ Đạt</t>
        </is>
      </c>
      <c r="J67" s="18" t="n"/>
    </row>
    <row r="68" ht="33.75" customHeight="1">
      <c r="A68" s="28" t="inlineStr">
        <is>
          <t>B. RAY DẪN HƯỚNG (TCVN 6396-20:2017 §10)</t>
        </is>
      </c>
      <c r="B68" s="43" t="n"/>
      <c r="C68" s="43" t="n"/>
      <c r="D68" s="43" t="n"/>
      <c r="E68" s="43" t="n"/>
      <c r="F68" s="43" t="n"/>
      <c r="G68" s="43" t="n"/>
      <c r="H68" s="43" t="n"/>
      <c r="I68" s="43" t="n"/>
      <c r="J68" s="42" t="n"/>
    </row>
    <row r="69" ht="18" customHeight="1">
      <c r="A69" s="22" t="inlineStr">
        <is>
          <t>B.1</t>
        </is>
      </c>
      <c r="B69" s="18" t="inlineStr">
        <is>
          <t>Ray dẫn cabin lắp thẳng đứng, sai số ≤ 1/1000</t>
        </is>
      </c>
      <c r="C69" s="43" t="n"/>
      <c r="D69" s="42" t="n"/>
      <c r="E69" s="18" t="inlineStr">
        <is>
          <t>§10.1.2</t>
        </is>
      </c>
      <c r="F69" s="43" t="n"/>
      <c r="G69" s="42" t="n"/>
      <c r="H69" s="22" t="inlineStr">
        <is>
          <t>Đạt</t>
        </is>
      </c>
      <c r="I69" s="22" t="inlineStr">
        <is>
          <t>☑ Đạt</t>
        </is>
      </c>
      <c r="J69" s="18" t="n"/>
    </row>
    <row r="70" ht="33.75" customHeight="1">
      <c r="A70" s="22" t="inlineStr">
        <is>
          <t>B.2</t>
        </is>
      </c>
      <c r="B70" s="18" t="inlineStr">
        <is>
          <t>Ray dẫn đối trọng lắp thẳng đứng, đúng tim</t>
        </is>
      </c>
      <c r="C70" s="43" t="n"/>
      <c r="D70" s="42" t="n"/>
      <c r="E70" s="18" t="inlineStr">
        <is>
          <t>§10.1.2</t>
        </is>
      </c>
      <c r="F70" s="43" t="n"/>
      <c r="G70" s="42" t="n"/>
      <c r="H70" s="22" t="inlineStr">
        <is>
          <t>Đạt</t>
        </is>
      </c>
      <c r="I70" s="22" t="inlineStr">
        <is>
          <t>☑ Đạt</t>
        </is>
      </c>
      <c r="J70" s="18" t="n"/>
    </row>
    <row r="71" ht="18" customHeight="1">
      <c r="A71" s="22" t="inlineStr">
        <is>
          <t>B.3</t>
        </is>
      </c>
      <c r="B71" s="18" t="inlineStr">
        <is>
          <t>Giá đỡ ray (brackets) hàn/bu lông đúng khoảng cách ≤ 2,5m</t>
        </is>
      </c>
      <c r="C71" s="43" t="n"/>
      <c r="D71" s="42" t="n"/>
      <c r="E71" s="18" t="inlineStr">
        <is>
          <t>§10.1.3</t>
        </is>
      </c>
      <c r="F71" s="43" t="n"/>
      <c r="G71" s="42" t="n"/>
      <c r="H71" s="22" t="inlineStr">
        <is>
          <t>Đạt</t>
        </is>
      </c>
      <c r="I71" s="22" t="inlineStr">
        <is>
          <t>☑ Đạt</t>
        </is>
      </c>
      <c r="J71" s="18" t="n"/>
    </row>
    <row r="72" ht="18" customHeight="1">
      <c r="A72" s="22" t="inlineStr">
        <is>
          <t>B.4</t>
        </is>
      </c>
      <c r="B72" s="18" t="inlineStr">
        <is>
          <t>Mối nối ray phẳng, sai lệch ≤ 0,05mm</t>
        </is>
      </c>
      <c r="C72" s="43" t="n"/>
      <c r="D72" s="42" t="n"/>
      <c r="E72" s="18" t="inlineStr">
        <is>
          <t>§10.2</t>
        </is>
      </c>
      <c r="F72" s="43" t="n"/>
      <c r="G72" s="42" t="n"/>
      <c r="H72" s="22" t="inlineStr">
        <is>
          <t>Đạt</t>
        </is>
      </c>
      <c r="I72" s="22" t="inlineStr">
        <is>
          <t>☑ Đạt</t>
        </is>
      </c>
      <c r="J72" s="18" t="n"/>
    </row>
    <row r="73" ht="33.75" customHeight="1">
      <c r="A73" s="28" t="inlineStr">
        <is>
          <t>C. CABIN (TCVN 6396-20:2017 §8)</t>
        </is>
      </c>
      <c r="B73" s="43" t="n"/>
      <c r="C73" s="43" t="n"/>
      <c r="D73" s="43" t="n"/>
      <c r="E73" s="43" t="n"/>
      <c r="F73" s="43" t="n"/>
      <c r="G73" s="43" t="n"/>
      <c r="H73" s="43" t="n"/>
      <c r="I73" s="43" t="n"/>
      <c r="J73" s="42" t="n"/>
    </row>
    <row r="74" ht="33.75" customHeight="1">
      <c r="A74" s="22" t="inlineStr">
        <is>
          <t>C.1</t>
        </is>
      </c>
      <c r="B74" s="18" t="inlineStr">
        <is>
          <t>Kích thước cabin đúng thiết kế (diện tích tải trọng)</t>
        </is>
      </c>
      <c r="C74" s="43" t="n"/>
      <c r="D74" s="42" t="n"/>
      <c r="E74" s="18" t="inlineStr">
        <is>
          <t>§8.2, Bảng 2</t>
        </is>
      </c>
      <c r="F74" s="43" t="n"/>
      <c r="G74" s="42" t="n"/>
      <c r="H74" s="22" t="inlineStr">
        <is>
          <t>Đạt</t>
        </is>
      </c>
      <c r="I74" s="22" t="inlineStr">
        <is>
          <t>☑ Đạt</t>
        </is>
      </c>
      <c r="J74" s="18" t="n"/>
    </row>
    <row r="75" ht="33.75" customHeight="1">
      <c r="A75" s="22" t="inlineStr">
        <is>
          <t>C.2</t>
        </is>
      </c>
      <c r="B75" s="18" t="inlineStr">
        <is>
          <t>Độ bền kết cấu cabin, khung cabin</t>
        </is>
      </c>
      <c r="C75" s="43" t="n"/>
      <c r="D75" s="42" t="n"/>
      <c r="E75" s="18" t="inlineStr">
        <is>
          <t>§8.1</t>
        </is>
      </c>
      <c r="F75" s="43" t="n"/>
      <c r="G75" s="42" t="n"/>
      <c r="H75" s="22" t="inlineStr">
        <is>
          <t>Đạt</t>
        </is>
      </c>
      <c r="I75" s="22" t="inlineStr">
        <is>
          <t>☑ Đạt</t>
        </is>
      </c>
      <c r="J75" s="18" t="n"/>
    </row>
    <row r="76" ht="18" customHeight="1">
      <c r="A76" s="22" t="inlineStr">
        <is>
          <t>C.3</t>
        </is>
      </c>
      <c r="B76" s="18" t="inlineStr">
        <is>
          <t>Chiều cao tự do trong cabin ≥ 2,0m</t>
        </is>
      </c>
      <c r="C76" s="43" t="n"/>
      <c r="D76" s="42" t="n"/>
      <c r="E76" s="18" t="inlineStr">
        <is>
          <t>§8.2.4</t>
        </is>
      </c>
      <c r="F76" s="43" t="n"/>
      <c r="G76" s="42" t="n"/>
      <c r="H76" s="22" t="inlineStr">
        <is>
          <t>Đạt</t>
        </is>
      </c>
      <c r="I76" s="22" t="inlineStr">
        <is>
          <t>☑ Đạt</t>
        </is>
      </c>
      <c r="J76" s="18" t="n"/>
    </row>
    <row r="77" ht="33.75" customHeight="1">
      <c r="A77" s="22" t="inlineStr">
        <is>
          <t>C.4</t>
        </is>
      </c>
      <c r="B77" s="18" t="inlineStr">
        <is>
          <t>Hệ thống chiếu sáng cabin ≥ 50 lux tại sàn; đèn sự cố</t>
        </is>
      </c>
      <c r="C77" s="43" t="n"/>
      <c r="D77" s="42" t="n"/>
      <c r="E77" s="18" t="inlineStr">
        <is>
          <t>§8.10, §8.11</t>
        </is>
      </c>
      <c r="F77" s="43" t="n"/>
      <c r="G77" s="42" t="n"/>
      <c r="H77" s="22" t="inlineStr">
        <is>
          <t>Đạt</t>
        </is>
      </c>
      <c r="I77" s="22" t="inlineStr">
        <is>
          <t>☑ Đạt</t>
        </is>
      </c>
      <c r="J77" s="18" t="n"/>
    </row>
    <row r="78" ht="33.75" customHeight="1">
      <c r="A78" s="22" t="inlineStr">
        <is>
          <t>C.5</t>
        </is>
      </c>
      <c r="B78" s="18" t="inlineStr">
        <is>
          <t>Thông gió cabin (lỗ thông hơi/quạt)</t>
        </is>
      </c>
      <c r="C78" s="43" t="n"/>
      <c r="D78" s="42" t="n"/>
      <c r="E78" s="18" t="inlineStr">
        <is>
          <t>§8.12</t>
        </is>
      </c>
      <c r="F78" s="43" t="n"/>
      <c r="G78" s="42" t="n"/>
      <c r="H78" s="22" t="inlineStr">
        <is>
          <t>Đạt</t>
        </is>
      </c>
      <c r="I78" s="22" t="inlineStr">
        <is>
          <t>☑ Đạt</t>
        </is>
      </c>
      <c r="J78" s="18" t="n"/>
    </row>
    <row r="79" ht="33.75" customHeight="1">
      <c r="A79" s="22" t="inlineStr">
        <is>
          <t>C.6</t>
        </is>
      </c>
      <c r="B79" s="18" t="inlineStr">
        <is>
          <t>Tấm ốp cabin, trần cabin hoàn thiện đúng mẫu duyệt</t>
        </is>
      </c>
      <c r="C79" s="43" t="n"/>
      <c r="D79" s="42" t="n"/>
      <c r="E79" s="18" t="inlineStr">
        <is>
          <t>Hồ sơ thiết kế</t>
        </is>
      </c>
      <c r="F79" s="43" t="n"/>
      <c r="G79" s="42" t="n"/>
      <c r="H79" s="22" t="inlineStr">
        <is>
          <t>Đạt</t>
        </is>
      </c>
      <c r="I79" s="22" t="inlineStr">
        <is>
          <t>☑ Đạt</t>
        </is>
      </c>
      <c r="J79" s="18" t="n"/>
    </row>
    <row r="80" ht="33.75" customHeight="1">
      <c r="A80" s="28" t="inlineStr">
        <is>
          <t>D. CỬA TẦNG &amp; CỬA CABIN (TCVN 6396-20:2017 §11)</t>
        </is>
      </c>
      <c r="B80" s="43" t="n"/>
      <c r="C80" s="43" t="n"/>
      <c r="D80" s="43" t="n"/>
      <c r="E80" s="43" t="n"/>
      <c r="F80" s="43" t="n"/>
      <c r="G80" s="43" t="n"/>
      <c r="H80" s="43" t="n"/>
      <c r="I80" s="43" t="n"/>
      <c r="J80" s="42" t="n"/>
    </row>
    <row r="81" ht="33.75" customHeight="1">
      <c r="A81" s="22" t="inlineStr">
        <is>
          <t>D.1</t>
        </is>
      </c>
      <c r="B81" s="18" t="inlineStr">
        <is>
          <t>Chiều rộng và chiều cao cửa tầng đúng thiết kế</t>
        </is>
      </c>
      <c r="C81" s="43" t="n"/>
      <c r="D81" s="42" t="n"/>
      <c r="E81" s="18" t="inlineStr">
        <is>
          <t>§11.2.1</t>
        </is>
      </c>
      <c r="F81" s="43" t="n"/>
      <c r="G81" s="42" t="n"/>
      <c r="H81" s="22" t="inlineStr">
        <is>
          <t>Đạt</t>
        </is>
      </c>
      <c r="I81" s="22" t="inlineStr">
        <is>
          <t>☑ Đạt</t>
        </is>
      </c>
      <c r="J81" s="18" t="n"/>
    </row>
    <row r="82" ht="18" customHeight="1">
      <c r="A82" s="22" t="inlineStr">
        <is>
          <t>D.2</t>
        </is>
      </c>
      <c r="B82" s="18" t="inlineStr">
        <is>
          <t>Ngưỡng cửa tầng nằm ngang, khoảng cách với ngưỡng cabin ≤ 35mm</t>
        </is>
      </c>
      <c r="C82" s="43" t="n"/>
      <c r="D82" s="42" t="n"/>
      <c r="E82" s="18" t="inlineStr">
        <is>
          <t>§11.2.5</t>
        </is>
      </c>
      <c r="F82" s="43" t="n"/>
      <c r="G82" s="42" t="n"/>
      <c r="H82" s="22" t="inlineStr">
        <is>
          <t>Đạt</t>
        </is>
      </c>
      <c r="I82" s="22" t="inlineStr">
        <is>
          <t>☑ Đạt</t>
        </is>
      </c>
      <c r="J82" s="18" t="n"/>
    </row>
    <row r="83" ht="49.5" customHeight="1">
      <c r="A83" s="22" t="inlineStr">
        <is>
          <t>D.3</t>
        </is>
      </c>
      <c r="B83" s="18" t="inlineStr">
        <is>
          <t>Khóa cửa tầng (interlock): cơ và điện hoạt động đúng</t>
        </is>
      </c>
      <c r="C83" s="43" t="n"/>
      <c r="D83" s="42" t="n"/>
      <c r="E83" s="18" t="inlineStr">
        <is>
          <t>§11.7</t>
        </is>
      </c>
      <c r="F83" s="43" t="n"/>
      <c r="G83" s="42" t="n"/>
      <c r="H83" s="22" t="inlineStr">
        <is>
          <t>Đạt</t>
        </is>
      </c>
      <c r="I83" s="22" t="inlineStr">
        <is>
          <t>☑ Đạt</t>
        </is>
      </c>
      <c r="J83" s="18" t="n"/>
    </row>
    <row r="84" ht="33.75" customHeight="1">
      <c r="A84" s="22" t="inlineStr">
        <is>
          <t>D.4</t>
        </is>
      </c>
      <c r="B84" s="18" t="inlineStr">
        <is>
          <t>Cửa cabin đóng đủ trước khi thang chạy (kiểm tra tiếp điểm)</t>
        </is>
      </c>
      <c r="C84" s="43" t="n"/>
      <c r="D84" s="42" t="n"/>
      <c r="E84" s="18" t="inlineStr">
        <is>
          <t>§11.8</t>
        </is>
      </c>
      <c r="F84" s="43" t="n"/>
      <c r="G84" s="42" t="n"/>
      <c r="H84" s="22" t="inlineStr">
        <is>
          <t>Đạt</t>
        </is>
      </c>
      <c r="I84" s="22" t="inlineStr">
        <is>
          <t>☑ Đạt</t>
        </is>
      </c>
      <c r="J84" s="18" t="n"/>
    </row>
    <row r="85" ht="33.75" customHeight="1">
      <c r="A85" s="22" t="inlineStr">
        <is>
          <t>D.5</t>
        </is>
      </c>
      <c r="B85" s="18" t="inlineStr">
        <is>
          <t>Cạnh bảo vệ cửa cabin (cảm biến/tấm bảo vệ)</t>
        </is>
      </c>
      <c r="C85" s="43" t="n"/>
      <c r="D85" s="42" t="n"/>
      <c r="E85" s="18" t="inlineStr">
        <is>
          <t>§11.11</t>
        </is>
      </c>
      <c r="F85" s="43" t="n"/>
      <c r="G85" s="42" t="n"/>
      <c r="H85" s="22" t="inlineStr">
        <is>
          <t>Đạt</t>
        </is>
      </c>
      <c r="I85" s="22" t="inlineStr">
        <is>
          <t>☑ Đạt</t>
        </is>
      </c>
      <c r="J85" s="18" t="n"/>
    </row>
    <row r="86" ht="33.75" customHeight="1">
      <c r="A86" s="28" t="inlineStr">
        <is>
          <t>E. MÁY KÉO &amp; BỘ ĐIỀU TỐC (TCVN 6396-20:2017 §12, §9)</t>
        </is>
      </c>
      <c r="B86" s="43" t="n"/>
      <c r="C86" s="43" t="n"/>
      <c r="D86" s="43" t="n"/>
      <c r="E86" s="43" t="n"/>
      <c r="F86" s="43" t="n"/>
      <c r="G86" s="43" t="n"/>
      <c r="H86" s="43" t="n"/>
      <c r="I86" s="43" t="n"/>
      <c r="J86" s="42" t="n"/>
    </row>
    <row r="87" ht="18" customHeight="1">
      <c r="A87" s="22" t="inlineStr">
        <is>
          <t>E.1</t>
        </is>
      </c>
      <c r="B87" s="18" t="inlineStr">
        <is>
          <t>Máy kéo lắp đúng vị trí, bu lông neo đủ lực siết, không rung động lớn</t>
        </is>
      </c>
      <c r="C87" s="43" t="n"/>
      <c r="D87" s="42" t="n"/>
      <c r="E87" s="18" t="inlineStr">
        <is>
          <t>§12.1</t>
        </is>
      </c>
      <c r="F87" s="43" t="n"/>
      <c r="G87" s="42" t="n"/>
      <c r="H87" s="22" t="inlineStr">
        <is>
          <t>Đạt</t>
        </is>
      </c>
      <c r="I87" s="22" t="inlineStr">
        <is>
          <t>☑ Đạt</t>
        </is>
      </c>
      <c r="J87" s="18" t="n"/>
    </row>
    <row r="88" ht="33.75" customHeight="1">
      <c r="A88" s="22" t="inlineStr">
        <is>
          <t>E.2</t>
        </is>
      </c>
      <c r="B88" s="18" t="inlineStr">
        <is>
          <t>Puly cabin và puly đổi hướng lắp thẳng hàng, khe hở puly đúng</t>
        </is>
      </c>
      <c r="C88" s="43" t="n"/>
      <c r="D88" s="42" t="n"/>
      <c r="E88" s="18" t="inlineStr">
        <is>
          <t>§12.2</t>
        </is>
      </c>
      <c r="F88" s="43" t="n"/>
      <c r="G88" s="42" t="n"/>
      <c r="H88" s="22" t="inlineStr">
        <is>
          <t>Đạt</t>
        </is>
      </c>
      <c r="I88" s="22" t="inlineStr">
        <is>
          <t>☑ Đạt</t>
        </is>
      </c>
      <c r="J88" s="18" t="n"/>
    </row>
    <row r="89" ht="33.75" customHeight="1">
      <c r="A89" s="22" t="inlineStr">
        <is>
          <t>E.3</t>
        </is>
      </c>
      <c r="B89" s="18" t="inlineStr">
        <is>
          <t>Bộ điều tốc (governor) lắp đúng; dây căng, puly điều tốc OK</t>
        </is>
      </c>
      <c r="C89" s="43" t="n"/>
      <c r="D89" s="42" t="n"/>
      <c r="E89" s="18" t="inlineStr">
        <is>
          <t>§9.9</t>
        </is>
      </c>
      <c r="F89" s="43" t="n"/>
      <c r="G89" s="42" t="n"/>
      <c r="H89" s="22" t="inlineStr">
        <is>
          <t>Đạt</t>
        </is>
      </c>
      <c r="I89" s="22" t="inlineStr">
        <is>
          <t>☑ Đạt</t>
        </is>
      </c>
      <c r="J89" s="18" t="n"/>
    </row>
    <row r="90" ht="33.75" customHeight="1">
      <c r="A90" s="22" t="inlineStr">
        <is>
          <t>E.4</t>
        </is>
      </c>
      <c r="B90" s="18" t="inlineStr">
        <is>
          <t>Thiết bị bắt cabin khi đứt cáp/tốc độ cao (safety gear) lắp đúng</t>
        </is>
      </c>
      <c r="C90" s="43" t="n"/>
      <c r="D90" s="42" t="n"/>
      <c r="E90" s="18" t="inlineStr">
        <is>
          <t>§9.8</t>
        </is>
      </c>
      <c r="F90" s="43" t="n"/>
      <c r="G90" s="42" t="n"/>
      <c r="H90" s="22" t="inlineStr">
        <is>
          <t>Đạt</t>
        </is>
      </c>
      <c r="I90" s="22" t="inlineStr">
        <is>
          <t>☑ Đạt</t>
        </is>
      </c>
      <c r="J90" s="18" t="n"/>
    </row>
    <row r="91" ht="18" customHeight="1">
      <c r="A91" s="28" t="inlineStr">
        <is>
          <t>F. CÁP/XÍCH TẢI (TCVN 6396-20:2017 §9)</t>
        </is>
      </c>
      <c r="B91" s="43" t="n"/>
      <c r="C91" s="43" t="n"/>
      <c r="D91" s="43" t="n"/>
      <c r="E91" s="43" t="n"/>
      <c r="F91" s="43" t="n"/>
      <c r="G91" s="43" t="n"/>
      <c r="H91" s="43" t="n"/>
      <c r="I91" s="43" t="n"/>
      <c r="J91" s="42" t="n"/>
    </row>
    <row r="92" ht="33.75" customHeight="1">
      <c r="A92" s="22" t="inlineStr">
        <is>
          <t>F.1</t>
        </is>
      </c>
      <c r="B92" s="18" t="inlineStr">
        <is>
          <t>Số lượng cáp/xích ≥ 2; loại, đường kính đúng thiết kế</t>
        </is>
      </c>
      <c r="C92" s="43" t="n"/>
      <c r="D92" s="42" t="n"/>
      <c r="E92" s="18" t="inlineStr">
        <is>
          <t>§9.1, §9.2</t>
        </is>
      </c>
      <c r="F92" s="43" t="n"/>
      <c r="G92" s="42" t="n"/>
      <c r="H92" s="22" t="inlineStr">
        <is>
          <t>Đạt</t>
        </is>
      </c>
      <c r="I92" s="22" t="inlineStr">
        <is>
          <t>☑ Đạt</t>
        </is>
      </c>
      <c r="J92" s="18" t="n"/>
    </row>
    <row r="93" ht="33.75" customHeight="1">
      <c r="A93" s="22" t="inlineStr">
        <is>
          <t>F.2</t>
        </is>
      </c>
      <c r="B93" s="18" t="inlineStr">
        <is>
          <t>Đầu nối cáp đúng tiêu chuẩn, đai ốc hãm an toàn</t>
        </is>
      </c>
      <c r="C93" s="43" t="n"/>
      <c r="D93" s="42" t="n"/>
      <c r="E93" s="18" t="inlineStr">
        <is>
          <t>§9.3</t>
        </is>
      </c>
      <c r="F93" s="43" t="n"/>
      <c r="G93" s="42" t="n"/>
      <c r="H93" s="22" t="inlineStr">
        <is>
          <t>Đạt</t>
        </is>
      </c>
      <c r="I93" s="22" t="inlineStr">
        <is>
          <t>☑ Đạt</t>
        </is>
      </c>
      <c r="J93" s="18" t="n"/>
    </row>
    <row r="94" ht="18" customHeight="1">
      <c r="A94" s="22" t="inlineStr">
        <is>
          <t>F.3</t>
        </is>
      </c>
      <c r="B94" s="18" t="inlineStr">
        <is>
          <t>Không bị xoắn, kẹt, cọ sát vào kết cấu</t>
        </is>
      </c>
      <c r="C94" s="43" t="n"/>
      <c r="D94" s="42" t="n"/>
      <c r="E94" s="18" t="inlineStr">
        <is>
          <t>§9.1.3</t>
        </is>
      </c>
      <c r="F94" s="43" t="n"/>
      <c r="G94" s="42" t="n"/>
      <c r="H94" s="22" t="inlineStr">
        <is>
          <t>Đạt</t>
        </is>
      </c>
      <c r="I94" s="22" t="inlineStr">
        <is>
          <t>☑ Đạt</t>
        </is>
      </c>
      <c r="J94" s="18" t="n"/>
    </row>
    <row r="95" ht="33.75" customHeight="1">
      <c r="A95" s="28" t="inlineStr">
        <is>
          <t>G. ĐỐI TRỌNG (TCVN 6396-20:2017 §8.18)</t>
        </is>
      </c>
      <c r="B95" s="43" t="n"/>
      <c r="C95" s="43" t="n"/>
      <c r="D95" s="43" t="n"/>
      <c r="E95" s="43" t="n"/>
      <c r="F95" s="43" t="n"/>
      <c r="G95" s="43" t="n"/>
      <c r="H95" s="43" t="n"/>
      <c r="I95" s="43" t="n"/>
      <c r="J95" s="42" t="n"/>
    </row>
    <row r="96" ht="33.75" customHeight="1">
      <c r="A96" s="22" t="inlineStr">
        <is>
          <t>G.1</t>
        </is>
      </c>
      <c r="B96" s="18" t="inlineStr">
        <is>
          <t>Khối lượng đối trọng đúng thiết kế; cố định chống rơi</t>
        </is>
      </c>
      <c r="C96" s="43" t="n"/>
      <c r="D96" s="42" t="n"/>
      <c r="E96" s="18" t="inlineStr">
        <is>
          <t>§8.18.1</t>
        </is>
      </c>
      <c r="F96" s="43" t="n"/>
      <c r="G96" s="42" t="n"/>
      <c r="H96" s="22" t="inlineStr">
        <is>
          <t>Đạt</t>
        </is>
      </c>
      <c r="I96" s="22" t="inlineStr">
        <is>
          <t>☑ Đạt</t>
        </is>
      </c>
      <c r="J96" s="18" t="n"/>
    </row>
    <row r="97" ht="33.75" customHeight="1">
      <c r="A97" s="22" t="inlineStr">
        <is>
          <t>G.2</t>
        </is>
      </c>
      <c r="B97" s="18" t="inlineStr">
        <is>
          <t>Khoảng cách đối trọng và kết cấu hố thang ≥ 50mm</t>
        </is>
      </c>
      <c r="C97" s="43" t="n"/>
      <c r="D97" s="42" t="n"/>
      <c r="E97" s="18" t="inlineStr">
        <is>
          <t>§5.2.5</t>
        </is>
      </c>
      <c r="F97" s="43" t="n"/>
      <c r="G97" s="42" t="n"/>
      <c r="H97" s="22" t="inlineStr">
        <is>
          <t>Đạt</t>
        </is>
      </c>
      <c r="I97" s="22" t="inlineStr">
        <is>
          <t>☑ Đạt</t>
        </is>
      </c>
      <c r="J97" s="18" t="n"/>
    </row>
    <row r="98" ht="33.75" customHeight="1">
      <c r="A98" s="28" t="inlineStr">
        <is>
          <t>H. HỆ THỐNG ĐIỆN &amp; TỦ ĐIỀU KHIỂN (TCVN 6396-20:2017 §13, §14)</t>
        </is>
      </c>
      <c r="B98" s="43" t="n"/>
      <c r="C98" s="43" t="n"/>
      <c r="D98" s="43" t="n"/>
      <c r="E98" s="43" t="n"/>
      <c r="F98" s="43" t="n"/>
      <c r="G98" s="43" t="n"/>
      <c r="H98" s="43" t="n"/>
      <c r="I98" s="43" t="n"/>
      <c r="J98" s="42" t="n"/>
    </row>
    <row r="99" ht="33.75" customHeight="1">
      <c r="A99" s="22" t="inlineStr">
        <is>
          <t>H.1</t>
        </is>
      </c>
      <c r="B99" s="18" t="inlineStr">
        <is>
          <t>Tủ điều khiển lắp đặt tại phòng máy, dễ tiếp cận, nhãn mác đầy đủ</t>
        </is>
      </c>
      <c r="C99" s="43" t="n"/>
      <c r="D99" s="42" t="n"/>
      <c r="E99" s="18" t="inlineStr">
        <is>
          <t>§13.4</t>
        </is>
      </c>
      <c r="F99" s="43" t="n"/>
      <c r="G99" s="42" t="n"/>
      <c r="H99" s="22" t="inlineStr">
        <is>
          <t>Đạt</t>
        </is>
      </c>
      <c r="I99" s="22" t="inlineStr">
        <is>
          <t>☑ Đạt</t>
        </is>
      </c>
      <c r="J99" s="18" t="n"/>
    </row>
    <row r="100" ht="18" customHeight="1">
      <c r="A100" s="22" t="inlineStr">
        <is>
          <t>H.2</t>
        </is>
      </c>
      <c r="B100" s="18" t="inlineStr">
        <is>
          <t>Nguồn điện chính, aptomat, bảo vệ quá tải/ngắn mạch</t>
        </is>
      </c>
      <c r="C100" s="43" t="n"/>
      <c r="D100" s="42" t="n"/>
      <c r="E100" s="18" t="inlineStr">
        <is>
          <t>§13.1</t>
        </is>
      </c>
      <c r="F100" s="43" t="n"/>
      <c r="G100" s="42" t="n"/>
      <c r="H100" s="22" t="inlineStr">
        <is>
          <t>Đạt</t>
        </is>
      </c>
      <c r="I100" s="22" t="inlineStr">
        <is>
          <t>☑ Đạt</t>
        </is>
      </c>
      <c r="J100" s="18" t="n"/>
    </row>
    <row r="101" ht="33.75" customHeight="1">
      <c r="A101" s="22" t="inlineStr">
        <is>
          <t>H.3</t>
        </is>
      </c>
      <c r="B101" s="18" t="inlineStr">
        <is>
          <t>Công tắc tắt điện chính (main switch) tại phòng máy</t>
        </is>
      </c>
      <c r="C101" s="43" t="n"/>
      <c r="D101" s="42" t="n"/>
      <c r="E101" s="18" t="inlineStr">
        <is>
          <t>§13.4.1</t>
        </is>
      </c>
      <c r="F101" s="43" t="n"/>
      <c r="G101" s="42" t="n"/>
      <c r="H101" s="22" t="inlineStr">
        <is>
          <t>Đạt</t>
        </is>
      </c>
      <c r="I101" s="22" t="inlineStr">
        <is>
          <t>☑ Đạt</t>
        </is>
      </c>
      <c r="J101" s="18" t="n"/>
    </row>
    <row r="102" ht="33.75" customHeight="1">
      <c r="A102" s="22" t="inlineStr">
        <is>
          <t>H.4</t>
        </is>
      </c>
      <c r="B102" s="18" t="inlineStr">
        <is>
          <t>Cáp điện đi trong ống bảo vệ, đầu nối chắc chắn, tiếp địa đúng</t>
        </is>
      </c>
      <c r="C102" s="43" t="n"/>
      <c r="D102" s="42" t="n"/>
      <c r="E102" s="18" t="inlineStr">
        <is>
          <t>§13.2, §13.3</t>
        </is>
      </c>
      <c r="F102" s="43" t="n"/>
      <c r="G102" s="42" t="n"/>
      <c r="H102" s="22" t="inlineStr">
        <is>
          <t>Đạt</t>
        </is>
      </c>
      <c r="I102" s="22" t="inlineStr">
        <is>
          <t>☑ Đạt</t>
        </is>
      </c>
      <c r="J102" s="18" t="n"/>
    </row>
    <row r="103" ht="33.75" customHeight="1">
      <c r="A103" s="22" t="inlineStr">
        <is>
          <t>H.5</t>
        </is>
      </c>
      <c r="B103" s="18" t="inlineStr">
        <is>
          <t>Điều hòa phòng máy Heshan (01 bộ) lắp đúng vị trí, đầy đủ đấu nối</t>
        </is>
      </c>
      <c r="C103" s="43" t="n"/>
      <c r="D103" s="42" t="n"/>
      <c r="E103" s="18" t="inlineStr">
        <is>
          <t>Thiết kế</t>
        </is>
      </c>
      <c r="F103" s="43" t="n"/>
      <c r="G103" s="42" t="n"/>
      <c r="H103" s="22" t="inlineStr">
        <is>
          <t>Đạt</t>
        </is>
      </c>
      <c r="I103" s="22" t="inlineStr">
        <is>
          <t>☑ Đạt</t>
        </is>
      </c>
      <c r="J103" s="18" t="n"/>
    </row>
    <row r="104" ht="33.75" customHeight="1">
      <c r="A104" s="28" t="inlineStr">
        <is>
          <t>I. THIẾT BỊ AN TOÀN PHÒNG MÁY &amp; HỐ THANG (TCVN 6396-20:2017 §14)</t>
        </is>
      </c>
      <c r="B104" s="43" t="n"/>
      <c r="C104" s="43" t="n"/>
      <c r="D104" s="43" t="n"/>
      <c r="E104" s="43" t="n"/>
      <c r="F104" s="43" t="n"/>
      <c r="G104" s="43" t="n"/>
      <c r="H104" s="43" t="n"/>
      <c r="I104" s="43" t="n"/>
      <c r="J104" s="42" t="n"/>
    </row>
    <row r="105" ht="18" customHeight="1">
      <c r="A105" s="22" t="inlineStr">
        <is>
          <t>I.1</t>
        </is>
      </c>
      <c r="B105" s="18" t="inlineStr">
        <is>
          <t>Công tắc dừng khẩn cấp tại hố pit, trên nóc cabin</t>
        </is>
      </c>
      <c r="C105" s="43" t="n"/>
      <c r="D105" s="42" t="n"/>
      <c r="E105" s="18" t="inlineStr">
        <is>
          <t>§14.2.2</t>
        </is>
      </c>
      <c r="F105" s="43" t="n"/>
      <c r="G105" s="42" t="n"/>
      <c r="H105" s="22" t="inlineStr">
        <is>
          <t>Đạt</t>
        </is>
      </c>
      <c r="I105" s="22" t="inlineStr">
        <is>
          <t>☑ Đạt</t>
        </is>
      </c>
      <c r="J105" s="18" t="n"/>
    </row>
    <row r="106" ht="33.75" customHeight="1">
      <c r="A106" s="22" t="inlineStr">
        <is>
          <t>I.2</t>
        </is>
      </c>
      <c r="B106" s="18" t="inlineStr">
        <is>
          <t>Công tắc hạn chế hành trình trên và dưới (final limit)</t>
        </is>
      </c>
      <c r="C106" s="43" t="n"/>
      <c r="D106" s="42" t="n"/>
      <c r="E106" s="18" t="inlineStr">
        <is>
          <t>§14.1</t>
        </is>
      </c>
      <c r="F106" s="43" t="n"/>
      <c r="G106" s="42" t="n"/>
      <c r="H106" s="22" t="inlineStr">
        <is>
          <t>Đạt</t>
        </is>
      </c>
      <c r="I106" s="22" t="inlineStr">
        <is>
          <t>☑ Đạt</t>
        </is>
      </c>
      <c r="J106" s="18" t="n"/>
    </row>
    <row r="107" ht="33.75" customHeight="1">
      <c r="A107" s="22" t="inlineStr">
        <is>
          <t>I.3</t>
        </is>
      </c>
      <c r="B107" s="18" t="inlineStr">
        <is>
          <t>Chuông/điện thoại liên lạc khẩn cấp trong cabin</t>
        </is>
      </c>
      <c r="C107" s="43" t="n"/>
      <c r="D107" s="42" t="n"/>
      <c r="E107" s="18" t="inlineStr">
        <is>
          <t>§8.9</t>
        </is>
      </c>
      <c r="F107" s="43" t="n"/>
      <c r="G107" s="42" t="n"/>
      <c r="H107" s="22" t="inlineStr">
        <is>
          <t>Đạt</t>
        </is>
      </c>
      <c r="I107" s="22" t="inlineStr">
        <is>
          <t>☑ Đạt</t>
        </is>
      </c>
      <c r="J107" s="18" t="n"/>
    </row>
    <row r="108" ht="33.75" customHeight="1">
      <c r="A108" s="22" t="inlineStr">
        <is>
          <t>I.4</t>
        </is>
      </c>
      <c r="B108" s="18" t="inlineStr">
        <is>
          <t>Biển cảnh báo, chỉ dẫn vận hành tại phòng máy và cabin</t>
        </is>
      </c>
      <c r="C108" s="43" t="n"/>
      <c r="D108" s="42" t="n"/>
      <c r="E108" s="18" t="inlineStr">
        <is>
          <t>§6.2</t>
        </is>
      </c>
      <c r="F108" s="43" t="n"/>
      <c r="G108" s="42" t="n"/>
      <c r="H108" s="22" t="inlineStr">
        <is>
          <t>Đạt</t>
        </is>
      </c>
      <c r="I108" s="22" t="inlineStr">
        <is>
          <t>☑ Đạt</t>
        </is>
      </c>
      <c r="J108" s="18" t="n"/>
    </row>
    <row r="109" ht="33.75" customHeight="1">
      <c r="A109" s="28" t="inlineStr">
        <is>
          <t>J. YÊU CẦU RIÊNG THANG PCCC (TCVN 6396-72:2010)</t>
        </is>
      </c>
      <c r="B109" s="43" t="n"/>
      <c r="C109" s="43" t="n"/>
      <c r="D109" s="43" t="n"/>
      <c r="E109" s="43" t="n"/>
      <c r="F109" s="43" t="n"/>
      <c r="G109" s="43" t="n"/>
      <c r="H109" s="43" t="n"/>
      <c r="I109" s="43" t="n"/>
      <c r="J109" s="42" t="n"/>
    </row>
    <row r="110" ht="33.75" customHeight="1">
      <c r="A110" s="22" t="inlineStr">
        <is>
          <t>J.1</t>
        </is>
      </c>
      <c r="B110" s="18" t="inlineStr">
        <is>
          <t>Cabin kích thước tối thiểu 1100×1400mm (chở cáng cứu thương)</t>
        </is>
      </c>
      <c r="C110" s="43" t="n"/>
      <c r="D110" s="42" t="n"/>
      <c r="E110" s="18" t="inlineStr">
        <is>
          <t>§5.4.2</t>
        </is>
      </c>
      <c r="F110" s="43" t="n"/>
      <c r="G110" s="42" t="n"/>
      <c r="H110" s="22" t="inlineStr">
        <is>
          <t>Đạt</t>
        </is>
      </c>
      <c r="I110" s="22" t="inlineStr">
        <is>
          <t>☑ Đạt</t>
        </is>
      </c>
      <c r="J110" s="18" t="n"/>
    </row>
    <row r="111" ht="33.75" customHeight="1">
      <c r="A111" s="22" t="inlineStr">
        <is>
          <t>J.2</t>
        </is>
      </c>
      <c r="B111" s="18" t="inlineStr">
        <is>
          <t>Điện dự phòng PCCC (nguồn ưu tiên từ máy phát hoặc UPS)</t>
        </is>
      </c>
      <c r="C111" s="43" t="n"/>
      <c r="D111" s="42" t="n"/>
      <c r="E111" s="18" t="inlineStr">
        <is>
          <t>§5.9.2</t>
        </is>
      </c>
      <c r="F111" s="43" t="n"/>
      <c r="G111" s="42" t="n"/>
      <c r="H111" s="22" t="inlineStr">
        <is>
          <t>Đạt</t>
        </is>
      </c>
      <c r="I111" s="22" t="inlineStr">
        <is>
          <t>☑ Đạt</t>
        </is>
      </c>
      <c r="J111" s="18" t="n"/>
    </row>
    <row r="112" ht="33.75" customHeight="1">
      <c r="A112" s="22" t="inlineStr">
        <is>
          <t>J.3</t>
        </is>
      </c>
      <c r="B112" s="18" t="inlineStr">
        <is>
          <t>Tủ điều khiển PCCC độc lập hoặc chức năng riêng biệt trong tủ chính</t>
        </is>
      </c>
      <c r="C112" s="43" t="n"/>
      <c r="D112" s="42" t="n"/>
      <c r="E112" s="18" t="inlineStr">
        <is>
          <t>§5.10</t>
        </is>
      </c>
      <c r="F112" s="43" t="n"/>
      <c r="G112" s="42" t="n"/>
      <c r="H112" s="22" t="inlineStr">
        <is>
          <t>Đạt</t>
        </is>
      </c>
      <c r="I112" s="22" t="inlineStr">
        <is>
          <t>☑ Đạt</t>
        </is>
      </c>
      <c r="J112" s="18" t="n"/>
    </row>
    <row r="113" ht="33.75" customHeight="1">
      <c r="A113" s="22" t="inlineStr">
        <is>
          <t>J.4</t>
        </is>
      </c>
      <c r="B113" s="18" t="inlineStr">
        <is>
          <t>Bảng điều khiển PCCC (fire switch) tại tầng tiếp cận cứu hỏa</t>
        </is>
      </c>
      <c r="C113" s="43" t="n"/>
      <c r="D113" s="42" t="n"/>
      <c r="E113" s="18" t="inlineStr">
        <is>
          <t>§5.7</t>
        </is>
      </c>
      <c r="F113" s="43" t="n"/>
      <c r="G113" s="42" t="n"/>
      <c r="H113" s="22" t="inlineStr">
        <is>
          <t>Đạt</t>
        </is>
      </c>
      <c r="I113" s="22" t="inlineStr">
        <is>
          <t>☑ Đạt</t>
        </is>
      </c>
      <c r="J113" s="18" t="n"/>
    </row>
    <row r="114" ht="7.5" customHeight="1">
      <c r="A114" s="22" t="inlineStr">
        <is>
          <t>J.5</t>
        </is>
      </c>
      <c r="B114" s="18" t="inlineStr">
        <is>
          <t>Không có ổ cắm điện thông thường trong cabin thang PCCC</t>
        </is>
      </c>
      <c r="C114" s="43" t="n"/>
      <c r="D114" s="42" t="n"/>
      <c r="E114" s="18" t="inlineStr">
        <is>
          <t>§5.6</t>
        </is>
      </c>
      <c r="F114" s="43" t="n"/>
      <c r="G114" s="42" t="n"/>
      <c r="H114" s="22" t="inlineStr">
        <is>
          <t>Đạt</t>
        </is>
      </c>
      <c r="I114" s="22" t="inlineStr">
        <is>
          <t>☑ Đạt</t>
        </is>
      </c>
      <c r="J114" s="18" t="n"/>
    </row>
    <row r="115" ht="18" customHeight="1">
      <c r="A115" s="22" t="inlineStr">
        <is>
          <t>J.6</t>
        </is>
      </c>
      <c r="B115" s="18" t="inlineStr">
        <is>
          <t>Cáp điện và dây tín hiệu PCCC chịu nhiệt (Fire-rated cable)</t>
        </is>
      </c>
      <c r="C115" s="43" t="n"/>
      <c r="D115" s="42" t="n"/>
      <c r="E115" s="18" t="inlineStr">
        <is>
          <t>§5.9.3</t>
        </is>
      </c>
      <c r="F115" s="43" t="n"/>
      <c r="G115" s="42" t="n"/>
      <c r="H115" s="22" t="inlineStr">
        <is>
          <t>Đạt</t>
        </is>
      </c>
      <c r="I115" s="22" t="inlineStr">
        <is>
          <t>☑ Đạt</t>
        </is>
      </c>
      <c r="J115" s="18" t="n"/>
    </row>
    <row r="116" ht="18" customHeight="1">
      <c r="A116" s="22" t="inlineStr">
        <is>
          <t>J.7</t>
        </is>
      </c>
      <c r="B116" s="18" t="inlineStr">
        <is>
          <t>Ký hiệu PCCC trên bảng điều khiển tầng và trong cabin</t>
        </is>
      </c>
      <c r="C116" s="43" t="n"/>
      <c r="D116" s="42" t="n"/>
      <c r="E116" s="18" t="inlineStr">
        <is>
          <t>§5.5</t>
        </is>
      </c>
      <c r="F116" s="43" t="n"/>
      <c r="G116" s="42" t="n"/>
      <c r="H116" s="22" t="inlineStr">
        <is>
          <t>Đạt</t>
        </is>
      </c>
      <c r="I116" s="22" t="inlineStr">
        <is>
          <t>☑ Đạt</t>
        </is>
      </c>
      <c r="J116" s="18" t="n"/>
    </row>
    <row r="117" ht="18" customHeight="1">
      <c r="A117" s="22" t="inlineStr">
        <is>
          <t>J.8</t>
        </is>
      </c>
      <c r="B117" s="18" t="inlineStr">
        <is>
          <t>Màn hình/đèn tín hiệu PCCC tại tầng cứu hỏa trạm</t>
        </is>
      </c>
      <c r="C117" s="43" t="n"/>
      <c r="D117" s="42" t="n"/>
      <c r="E117" s="18" t="inlineStr">
        <is>
          <t>§5.8</t>
        </is>
      </c>
      <c r="F117" s="43" t="n"/>
      <c r="G117" s="42" t="n"/>
      <c r="H117" s="22" t="inlineStr">
        <is>
          <t>Đạt</t>
        </is>
      </c>
      <c r="I117" s="22" t="inlineStr">
        <is>
          <t>☑ Đạt</t>
        </is>
      </c>
      <c r="J117" s="18" t="n"/>
    </row>
    <row r="118" ht="64.5" customHeight="1"/>
    <row r="119" ht="7.5" customHeight="1">
      <c r="A119" s="3" t="inlineStr">
        <is>
          <t>Ghi chú đánh giá:  ☑ Đạt  |  ☐ Không đạt  |  N/A: Không áp dụng</t>
        </is>
      </c>
    </row>
    <row r="120">
      <c r="A120" s="5" t="inlineStr">
        <is>
          <t>Người kiểm tra (Bên A): ….................................    Ngày: ….............</t>
        </is>
      </c>
    </row>
    <row r="121">
      <c r="A121" s="5" t="inlineStr">
        <is>
          <t>Người kiểm tra (Bên B): ….................................    Ngày: …..............</t>
        </is>
      </c>
    </row>
    <row r="122">
      <c r="A122" s="23">
        <f>"ĐẠI DIỆN BÊN A
"&amp;UPPER(BenA_Ten)&amp;"
(Ký, ghi rõ họ tên)
…..............................."</f>
        <v/>
      </c>
      <c r="F122" s="23">
        <f>"ĐẠI DIỆN BÊN B
"&amp;UPPER(BenB_Ten)&amp;"
(Ký, ghi rõ họ tên)
…..............................."</f>
        <v/>
      </c>
    </row>
  </sheetData>
  <mergeCells count="164">
    <mergeCell ref="A23:J23"/>
    <mergeCell ref="A48:E48"/>
    <mergeCell ref="B60:D60"/>
    <mergeCell ref="A91:J91"/>
    <mergeCell ref="A43:J43"/>
    <mergeCell ref="A52:J52"/>
    <mergeCell ref="E108:G108"/>
    <mergeCell ref="E95:G95"/>
    <mergeCell ref="A115:J115"/>
    <mergeCell ref="E89:G89"/>
    <mergeCell ref="E104:G104"/>
    <mergeCell ref="B108:D108"/>
    <mergeCell ref="B84:D84"/>
    <mergeCell ref="A34:J34"/>
    <mergeCell ref="B92:D92"/>
    <mergeCell ref="E81:G81"/>
    <mergeCell ref="B80:D80"/>
    <mergeCell ref="A36:J36"/>
    <mergeCell ref="A6:J6"/>
    <mergeCell ref="A69:J69"/>
    <mergeCell ref="E58:G58"/>
    <mergeCell ref="B62:D62"/>
    <mergeCell ref="E106:G106"/>
    <mergeCell ref="B72:D72"/>
    <mergeCell ref="F48:J48"/>
    <mergeCell ref="E83:G83"/>
    <mergeCell ref="A3:J3"/>
    <mergeCell ref="B96:D96"/>
    <mergeCell ref="E92:G92"/>
    <mergeCell ref="A55:J55"/>
    <mergeCell ref="B70:D70"/>
    <mergeCell ref="B56:D56"/>
    <mergeCell ref="A12:J12"/>
    <mergeCell ref="E107:G107"/>
    <mergeCell ref="B111:D111"/>
    <mergeCell ref="A5:J5"/>
    <mergeCell ref="A32:J32"/>
    <mergeCell ref="B98:D98"/>
    <mergeCell ref="A14:J14"/>
    <mergeCell ref="B107:D107"/>
    <mergeCell ref="E60:G60"/>
    <mergeCell ref="E84:G84"/>
    <mergeCell ref="B73:D73"/>
    <mergeCell ref="B88:D88"/>
    <mergeCell ref="E78:G78"/>
    <mergeCell ref="A29:J29"/>
    <mergeCell ref="A4:J4"/>
    <mergeCell ref="A38:J38"/>
    <mergeCell ref="E59:G59"/>
    <mergeCell ref="A13:J13"/>
    <mergeCell ref="E77:G77"/>
    <mergeCell ref="A44:J44"/>
    <mergeCell ref="E86:G86"/>
    <mergeCell ref="E80:G80"/>
    <mergeCell ref="A31:J31"/>
    <mergeCell ref="B99:D99"/>
    <mergeCell ref="A40:J40"/>
    <mergeCell ref="E61:G61"/>
    <mergeCell ref="B74:D74"/>
    <mergeCell ref="A118:E118"/>
    <mergeCell ref="E70:G70"/>
    <mergeCell ref="B68:D68"/>
    <mergeCell ref="B83:D83"/>
    <mergeCell ref="A24:J24"/>
    <mergeCell ref="A15:J15"/>
    <mergeCell ref="A82:J82"/>
    <mergeCell ref="E72:G72"/>
    <mergeCell ref="E97:G97"/>
    <mergeCell ref="E112:G112"/>
    <mergeCell ref="B110:D110"/>
    <mergeCell ref="B85:D85"/>
    <mergeCell ref="E109:G109"/>
    <mergeCell ref="E96:G96"/>
    <mergeCell ref="E56:G56"/>
    <mergeCell ref="A7:J7"/>
    <mergeCell ref="B75:D75"/>
    <mergeCell ref="A16:J16"/>
    <mergeCell ref="B109:D109"/>
    <mergeCell ref="A25:J25"/>
    <mergeCell ref="E71:G71"/>
    <mergeCell ref="E111:G111"/>
    <mergeCell ref="B59:D59"/>
    <mergeCell ref="E98:G98"/>
    <mergeCell ref="B102:D102"/>
    <mergeCell ref="A18:J18"/>
    <mergeCell ref="E79:G79"/>
    <mergeCell ref="E73:G73"/>
    <mergeCell ref="E88:G88"/>
    <mergeCell ref="A2:J2"/>
    <mergeCell ref="A42:J42"/>
    <mergeCell ref="E63:G63"/>
    <mergeCell ref="A22:J22"/>
    <mergeCell ref="E65:G65"/>
    <mergeCell ref="E74:G74"/>
    <mergeCell ref="A20:J20"/>
    <mergeCell ref="B78:D78"/>
    <mergeCell ref="F118:J118"/>
    <mergeCell ref="A28:J28"/>
    <mergeCell ref="A30:J30"/>
    <mergeCell ref="E113:G113"/>
    <mergeCell ref="B65:D65"/>
    <mergeCell ref="A64:J64"/>
    <mergeCell ref="A51:J51"/>
    <mergeCell ref="B63:D63"/>
    <mergeCell ref="E102:G102"/>
    <mergeCell ref="B113:D113"/>
    <mergeCell ref="A54:J54"/>
    <mergeCell ref="A41:J41"/>
    <mergeCell ref="E62:G62"/>
    <mergeCell ref="B66:D66"/>
    <mergeCell ref="A27:J27"/>
    <mergeCell ref="B93:D93"/>
    <mergeCell ref="B77:D77"/>
    <mergeCell ref="B86:D86"/>
    <mergeCell ref="A76:J76"/>
    <mergeCell ref="A33:J33"/>
    <mergeCell ref="A116:J116"/>
    <mergeCell ref="B67:D67"/>
    <mergeCell ref="A8:J8"/>
    <mergeCell ref="B61:D61"/>
    <mergeCell ref="A17:J17"/>
    <mergeCell ref="B101:D101"/>
    <mergeCell ref="A100:J100"/>
    <mergeCell ref="A53:J53"/>
    <mergeCell ref="A35:J35"/>
    <mergeCell ref="E90:G90"/>
    <mergeCell ref="A10:J10"/>
    <mergeCell ref="B103:D103"/>
    <mergeCell ref="E99:G99"/>
    <mergeCell ref="A19:J19"/>
    <mergeCell ref="B112:D112"/>
    <mergeCell ref="A117:J117"/>
    <mergeCell ref="A9:J9"/>
    <mergeCell ref="E110:G110"/>
    <mergeCell ref="A39:J39"/>
    <mergeCell ref="E101:G101"/>
    <mergeCell ref="B95:D95"/>
    <mergeCell ref="E85:G85"/>
    <mergeCell ref="A11:J11"/>
    <mergeCell ref="B89:D89"/>
    <mergeCell ref="B104:D104"/>
    <mergeCell ref="A94:J94"/>
    <mergeCell ref="A45:J45"/>
    <mergeCell ref="A1:J1"/>
    <mergeCell ref="E66:G66"/>
    <mergeCell ref="B79:D79"/>
    <mergeCell ref="E75:G75"/>
    <mergeCell ref="E93:G93"/>
    <mergeCell ref="B97:D97"/>
    <mergeCell ref="A87:J87"/>
    <mergeCell ref="B106:D106"/>
    <mergeCell ref="E68:G68"/>
    <mergeCell ref="B81:D81"/>
    <mergeCell ref="B90:D90"/>
    <mergeCell ref="A46:J46"/>
    <mergeCell ref="A37:J37"/>
    <mergeCell ref="E67:G67"/>
    <mergeCell ref="B71:D71"/>
    <mergeCell ref="A21:J21"/>
    <mergeCell ref="A105:J105"/>
    <mergeCell ref="B58:D58"/>
    <mergeCell ref="A57:J57"/>
    <mergeCell ref="A26:J26"/>
    <mergeCell ref="E103:G103"/>
  </mergeCells>
  <pageMargins left="0.7" right="0.45" top="0.5" bottom="0.5" header="0.511811023622047" footer="0.511811023622047"/>
  <pageSetup orientation="portrait" paperSize="9" scale="93" fitToHeight="0" horizontalDpi="300" verticalDpi="300"/>
  <rowBreaks count="1" manualBreakCount="1">
    <brk id="50" min="0" max="16383" man="1"/>
  </rowBreaks>
</worksheet>
</file>

<file path=xl/worksheets/sheet5.xml><?xml version="1.0" encoding="utf-8"?>
<worksheet xmlns="http://schemas.openxmlformats.org/spreadsheetml/2006/main">
  <sheetPr>
    <tabColor rgb="FF4472C4"/>
    <outlinePr summaryBelow="1" summaryRight="1"/>
    <pageSetUpPr fitToPage="1"/>
  </sheetPr>
  <dimension ref="A1:J31"/>
  <sheetViews>
    <sheetView view="pageBreakPreview"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"&amp;IF(LEN(DanhMuc!$E$7)=10,"ngày "&amp;LEFT(DanhMuc!$E$7,2)&amp;" tháng "&amp;MID(DanhMuc!$E$7,4,2)&amp;" năm "&amp;RIGHT(DanhMuc!$E$7,4),"ngày …... tháng …... năm 2026")&amp;"."</f>
        <v/>
      </c>
    </row>
    <row r="5" ht="18" customHeight="1">
      <c r="A5" s="8" t="inlineStr">
        <is>
          <t>PHIẾU YÊU CẦU NGHIỆM THU</t>
        </is>
      </c>
    </row>
    <row r="6" ht="18" customHeight="1">
      <c r="A6" s="8">
        <f>UPPER(SUBSTITUTE(DanhMuc!$C$7,"Phiếu yêu cầu nghiệm thu ",""))</f>
        <v/>
      </c>
    </row>
    <row r="7" ht="18" customHeight="1">
      <c r="A7" s="8">
        <f>"SỐ: "&amp;DanhMuc!$D$7</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chạy thử đảm bảo các yêu cầu kỹ thuật và đủ điều kiện nghiệm thu.</t>
        </is>
      </c>
    </row>
    <row r="24" ht="18" customHeight="1">
      <c r="A24" s="4">
        <f>"Đề nghị Bên A (Bên Mua) - "&amp;BenA_Ten&amp;" tổ chức nghiệm thu:"</f>
        <v/>
      </c>
    </row>
    <row r="25" ht="18" customHeight="1">
      <c r="A25" s="5">
        <f>"Thời gian nghiệm thu:      "&amp;IF(DanhMuc!$F$7="","10h00",DanhMuc!$F$7)&amp;" "&amp;IF(LEN(DanhMuc!$H$7)=10,"Ngày "&amp;LEFT(DanhMuc!$H$7,2)&amp;" Tháng "&amp;MID(DanhMuc!$H$7,4,2)&amp;" Năm "&amp;RIGHT(DanhMuc!$H$7,4),"Ngày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chạy thử đơn động không tải số "&amp;DanhMuc!$D$8&amp;"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6.xml><?xml version="1.0" encoding="utf-8"?>
<worksheet xmlns="http://schemas.openxmlformats.org/spreadsheetml/2006/main">
  <sheetPr>
    <tabColor rgb="FF70AD47"/>
    <outlinePr summaryBelow="1" summaryRight="1"/>
    <pageSetUpPr fitToPage="1"/>
  </sheetPr>
  <dimension ref="A2:J99"/>
  <sheetViews>
    <sheetView view="pageBreakPreview" topLeftCell="A31" zoomScale="60" zoomScaleNormal="100" workbookViewId="0">
      <selection activeCell="A1" sqref="A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"&amp;IF(LEN(DanhMuc!$E$8)=10,"ngày "&amp;LEFT(DanhMuc!$E$8,2)&amp;" tháng "&amp;MID(DanhMuc!$E$8,4,2)&amp;" năm "&amp;RIGHT(DanhMuc!$E$8,4),"ngày …... tháng …... năm 2026")</f>
        <v/>
      </c>
    </row>
    <row r="6" ht="18" customHeight="1">
      <c r="A6" s="8">
        <f>UPPER(DanhMuc!$C$8)</f>
        <v/>
      </c>
    </row>
    <row r="7" ht="18" customHeight="1">
      <c r="A7" s="8" t="inlineStr">
        <is>
          <t>THANG MÁY P3</t>
        </is>
      </c>
    </row>
    <row r="8" ht="18" customHeight="1">
      <c r="A8" s="8">
        <f>"SỐ: "&amp;DanhMuc!$D$8</f>
        <v/>
      </c>
    </row>
    <row r="9" ht="18" customHeight="1">
      <c r="A9" s="5">
        <f>"Dự án: "&amp;DuAn</f>
        <v/>
      </c>
    </row>
    <row r="10" ht="33.75" customHeight="1">
      <c r="A10" s="5">
        <f>"Gói thầu: "&amp;GoiThau</f>
        <v/>
      </c>
    </row>
    <row r="11" ht="18" customHeight="1">
      <c r="A11" s="5">
        <f>"Hạng mục: "&amp;HangMuc</f>
        <v/>
      </c>
    </row>
    <row r="12" ht="18" customHeight="1">
      <c r="A12" s="5">
        <f>"Địa điểm: "&amp;DiaDiem</f>
        <v/>
      </c>
    </row>
    <row r="13" ht="18" customHeight="1">
      <c r="A13" s="4" t="inlineStr">
        <is>
          <t>1. Đối tượng nghiệm thu:</t>
        </is>
      </c>
    </row>
    <row r="14" ht="33.75" customHeight="1">
      <c r="A14" s="24" t="inlineStr">
        <is>
          <t>Thang máy P3 (thang máy chở người/PCCC có phòng máy, Schindler) - Chạy thử đơn động không tải.</t>
        </is>
      </c>
    </row>
    <row r="15" ht="18" customHeight="1">
      <c r="A15" s="4" t="inlineStr">
        <is>
          <t>2. Thành phần nghiệm thu:</t>
        </is>
      </c>
    </row>
    <row r="16" ht="33.75" customHeight="1">
      <c r="A16" s="24">
        <f>"- Đại diện Bên A (Bên Mua): "&amp;BenA_Ten</f>
        <v/>
      </c>
    </row>
    <row r="17" ht="33.75" customHeight="1">
      <c r="A17" s="24">
        <f>"  Ông/Bà: "&amp;IF(BenA_NT1="","…......................................",BenA_NT1)&amp;"          Chức vụ: "&amp;IF(BenA_NT1_CV="","…....................",BenA_NT1_CV)</f>
        <v/>
      </c>
    </row>
    <row r="18" ht="33.75" customHeight="1">
      <c r="A18" s="24">
        <f>"  Ông/Bà: "&amp;IF(BenA_NT2="","…......................................",BenA_NT2)&amp;"          Chức vụ: "&amp;IF(BenA_NT2_CV="","…....................",BenA_NT2_CV)</f>
        <v/>
      </c>
    </row>
    <row r="19" ht="33.75" customHeight="1">
      <c r="A19" s="24">
        <f>"- Đại diện Bên B (Bên Bán): "&amp;BenB_Ten</f>
        <v/>
      </c>
    </row>
    <row r="20" ht="18" customHeight="1">
      <c r="A20" s="24">
        <f>"  Ông/Bà: "&amp;IF(BenB_NT1="","…......................................",BenB_NT1)&amp;"          Chức vụ: "&amp;IF(BenB_NT1_CV="","…....................",BenB_NT1_CV)</f>
        <v/>
      </c>
    </row>
    <row r="21" ht="33.75" customHeight="1">
      <c r="A21" s="24">
        <f>"  Ông/Bà: "&amp;IF(BenB_NT2="","…......................................",BenB_NT2)&amp;"          Chức vụ: "&amp;IF(BenB_NT2_CV="","…....................",BenB_NT2_CV)</f>
        <v/>
      </c>
    </row>
    <row r="22" ht="18" customHeight="1">
      <c r="A22" s="4" t="inlineStr">
        <is>
          <t>3. Thời gian và địa điểm nghiệm thu:</t>
        </is>
      </c>
    </row>
    <row r="23" ht="18" customHeight="1">
      <c r="A23" s="24">
        <f>"- Bắt đầu: "&amp;IF(DanhMuc!$F$8="","…....... giờ …....... phút",DanhMuc!$F$8)&amp;", "&amp;IF(LEN(DanhMuc!$H$8)=10,"ngày "&amp;LEFT(DanhMuc!$H$8,2)&amp;" tháng "&amp;MID(DanhMuc!$H$8,4,2)&amp;" năm "&amp;RIGHT(DanhMuc!$H$8,4),"ngày …....... tháng …....... năm 2026")</f>
        <v/>
      </c>
    </row>
    <row r="24" ht="18" customHeight="1">
      <c r="A24" s="24">
        <f>"- Kết thúc: "&amp;IF(DanhMuc!$G$8="","…....... giờ …....... phút",DanhMuc!$G$8)&amp;", "&amp;IF(LEN(DanhMuc!$H$8)=10,"ngày "&amp;LEFT(DanhMuc!$H$8,2)&amp;" tháng "&amp;MID(DanhMuc!$H$8,4,2)&amp;" năm "&amp;RIGHT(DanhMuc!$H$8,4),"ngày …....... tháng …....... năm 2026")</f>
        <v/>
      </c>
    </row>
    <row r="25" ht="33.75" customHeight="1">
      <c r="A25" s="24" t="inlineStr">
        <is>
          <t>- Tại: Công trường Tòa nhà Trung tâm Điều hành, Khu Trung tâm ĐHQG Hà Nội, xã Hòa Lạc, Hà Nội</t>
        </is>
      </c>
    </row>
    <row r="26" ht="18" customHeight="1">
      <c r="A26" s="4" t="inlineStr">
        <is>
          <t>4. Căn cứ nghiệm thu:</t>
        </is>
      </c>
    </row>
    <row r="27" ht="18" customHeight="1">
      <c r="A27" s="25" t="inlineStr">
        <is>
          <t>a) Tài liệu pháp lý và hợp đồng:</t>
        </is>
      </c>
    </row>
    <row r="28" ht="33.75" customHeight="1">
      <c r="A28" s="26">
        <f>"- Hợp đồng mua bán số "&amp;SoHD&amp;" ký ngày "&amp;NgayHD&amp;" giữa "&amp;BenA_Ten&amp;" (Bên A) và "&amp;BenB_Ten&amp;" (Bên B)."</f>
        <v/>
      </c>
    </row>
    <row r="29" ht="18" customHeight="1">
      <c r="A29" s="26">
        <f>"- "&amp;"Phụ lục Hợp đồng số "&amp;SoPL&amp;" ký ngày "&amp;NgayPL&amp;" của Hợp đồng số "&amp;SoHD&amp;"."</f>
        <v/>
      </c>
    </row>
    <row r="30" ht="18" customHeight="1">
      <c r="A30" s="26" t="inlineStr">
        <is>
          <t>- Hồ sơ thiết kế, bản vẽ thi công thang máy được hai Bên phê duyệt.</t>
        </is>
      </c>
    </row>
    <row r="31" ht="18" customHeight="1">
      <c r="A31" s="26">
        <f>"- Biên bản nghiệm thu vật tư thiết bị số: 1/TM/BBNTVL-TB/"&amp;MaDA&amp;" ngày "&amp;NgayBBVT&amp;"."</f>
        <v/>
      </c>
    </row>
    <row r="32" ht="18" customHeight="1">
      <c r="A32" s="26">
        <f>"- Biên bản nghiệm thu lắp đặt tĩnh số: "&amp;DanhMuc!$D$6</f>
        <v/>
      </c>
    </row>
    <row r="33" ht="18" customHeight="1">
      <c r="A33" s="25" t="inlineStr">
        <is>
          <t>b) Quy chuẩn, tiêu chuẩn áp dụng:</t>
        </is>
      </c>
    </row>
    <row r="34" ht="18" customHeight="1">
      <c r="A34" s="26" t="inlineStr">
        <is>
          <t>- Nghị định 06/2021/NĐ-CP: Quản lý chất lượng và bảo trì công trình xây dựng;</t>
        </is>
      </c>
    </row>
    <row r="35" ht="18" customHeight="1">
      <c r="A35" s="26" t="inlineStr">
        <is>
          <t>- Thông tư 10/2021/TT-BXD hướng dẫn thi hành Nghị định 06/2021/NĐ-CP;</t>
        </is>
      </c>
    </row>
    <row r="36" ht="33.75" customHeight="1">
      <c r="A36" s="26" t="inlineStr">
        <is>
          <t>- QCVN 02:2019/BLĐTBXH: Quy chuẩn kỹ thuật quốc gia về an toàn lao động đối với thang máy;</t>
        </is>
      </c>
    </row>
    <row r="37" ht="33.75" customHeight="1">
      <c r="A37" s="26" t="inlineStr">
        <is>
          <t>- TCVN 6396-20:2017 (EN 81-20:2014): Yêu cầu an toàn về cấu tạo và lắp đặt thang máy chở người;</t>
        </is>
      </c>
    </row>
    <row r="38" ht="18" customHeight="1">
      <c r="A38" s="26" t="inlineStr">
        <is>
          <t>- TCVN 6396-72:2010 (EN 81-72:2003): Thang máy chữa cháy - yêu cầu an toàn;</t>
        </is>
      </c>
    </row>
    <row r="39" ht="18" customHeight="1">
      <c r="A39" s="26" t="inlineStr">
        <is>
          <t>- Và các tiêu chuẩn liên quan khác.</t>
        </is>
      </c>
    </row>
    <row r="40" ht="18" customHeight="1">
      <c r="A40" s="25" t="inlineStr">
        <is>
          <t>c) Tài liệu kỹ thuật:</t>
        </is>
      </c>
    </row>
    <row r="41" ht="33.75" customHeight="1">
      <c r="A41" s="26" t="inlineStr">
        <is>
          <t>- Nhật ký thi công, nhật ký giám sát và các văn bản liên quan đến đối tượng nghiệm thu.</t>
        </is>
      </c>
    </row>
    <row r="42" ht="18" customHeight="1">
      <c r="A42" s="26" t="inlineStr">
        <is>
          <t>- Catalogue kỹ thuật và chứng chỉ chất lượng của nhà sản xuất Schindler.</t>
        </is>
      </c>
    </row>
    <row r="43" ht="18" customHeight="1">
      <c r="A43" s="4" t="inlineStr">
        <is>
          <t>5. Nội dung chạy thử đơn động không tải:</t>
        </is>
      </c>
    </row>
    <row r="44" ht="33.75" customHeight="1">
      <c r="A44" s="24" t="inlineStr">
        <is>
          <t>Vận hành thang máy P3 riêng lẻ không tải: kiểm tra hành trình, dừng tầng, thiết bị an toàn, chế độ PCCC Phase 1 &amp; Phase 2. Kết quả chi tiết xem Phụ lục Checklist.</t>
        </is>
      </c>
    </row>
    <row r="45" ht="18" customHeight="1">
      <c r="A45" s="4" t="inlineStr">
        <is>
          <t>6. Kết quả chạy thử:</t>
        </is>
      </c>
    </row>
    <row r="46" ht="33.75" customHeight="1">
      <c r="A46" s="24" t="inlineStr">
        <is>
          <t>- Thang máy P3 vận hành đúng, thiết bị an toàn hoạt động bình thường, chế độ PCCC đáp ứng yêu cầu TCVN 6396-72:2010.</t>
        </is>
      </c>
    </row>
    <row r="47" ht="18" customHeight="1">
      <c r="A47" s="5" t="inlineStr">
        <is>
          <t>7. Các ý kiến khác (nếu có):</t>
        </is>
      </c>
    </row>
    <row r="48" ht="18" customHeight="1">
      <c r="A48" s="24" t="inlineStr">
        <is>
          <t>-</t>
        </is>
      </c>
    </row>
    <row r="49" ht="18" customHeight="1">
      <c r="A49" s="4" t="inlineStr">
        <is>
          <t>5. Kết luận:</t>
        </is>
      </c>
    </row>
    <row r="50" ht="18" customHeight="1">
      <c r="A50" s="24" t="inlineStr">
        <is>
          <t>☑  Đồng ý nghiệm thu và cho phép triển khai bước tiếp theo.</t>
        </is>
      </c>
    </row>
    <row r="51" ht="33.75" customHeight="1">
      <c r="A51" s="24" t="inlineStr">
        <is>
          <t>☐  Không đồng ý nghiệm thu (lý do: ….................................................................)</t>
        </is>
      </c>
    </row>
    <row r="52" ht="7.5" customHeight="1"/>
    <row r="53" ht="88.5" customHeight="1">
      <c r="A53" s="23">
        <f>"ĐẠI DIỆN BÊN A
"&amp;UPPER(BenA_Ten)&amp;"
(Ký, ghi rõ họ tên)
…..............................."</f>
        <v/>
      </c>
      <c r="F53" s="23">
        <f>"ĐẠI DIỆN BÊN B
"&amp;UPPER(BenB_Ten)&amp;"
(Ký, ghi rõ họ tên)
…..............................."</f>
        <v/>
      </c>
    </row>
    <row r="54" ht="7.5" customHeight="1"/>
    <row r="55" ht="7.5" customHeight="1"/>
    <row r="56" ht="18" customHeight="1">
      <c r="A56" s="8" t="inlineStr">
        <is>
          <t>PHỤ LỤC</t>
        </is>
      </c>
    </row>
    <row r="57" ht="18" customHeight="1">
      <c r="A57" s="8" t="inlineStr">
        <is>
          <t>BẢNG KIỂM TRA (CHECKLIST) - CHẠY THỬ ĐƠN ĐỘNG KHÔNG TẢI</t>
        </is>
      </c>
    </row>
    <row r="58" ht="18" customHeight="1">
      <c r="A58" s="27">
        <f>"Kèm theo: "&amp;DanhMuc!$D$8</f>
        <v/>
      </c>
    </row>
    <row r="59" ht="18" customHeight="1">
      <c r="A59" s="5" t="inlineStr">
        <is>
          <t>Thang máy: P3 - Thang máy chở người/PCCC có phòng máy (Schindler)</t>
        </is>
      </c>
    </row>
    <row r="60" ht="18" customHeight="1">
      <c r="A60" s="5" t="inlineStr">
        <is>
          <t>Căn cứ: TCVN 6396-20:2017 (EN 81-20:2014) &amp; TCVN 6396-72:2010 (EN 81-72:2003)</t>
        </is>
      </c>
    </row>
    <row r="61" ht="33.75" customHeight="1">
      <c r="A61" s="15" t="inlineStr">
        <is>
          <t>STT</t>
        </is>
      </c>
      <c r="B61" s="15" t="inlineStr">
        <is>
          <t>Nội dung kiểm tra</t>
        </is>
      </c>
      <c r="C61" s="43" t="n"/>
      <c r="D61" s="42" t="n"/>
      <c r="E61" s="15" t="inlineStr">
        <is>
          <t>Yêu cầu kỹ thuật / Tham chiếu</t>
        </is>
      </c>
      <c r="F61" s="43" t="n"/>
      <c r="G61" s="42" t="n"/>
      <c r="H61" s="15" t="inlineStr">
        <is>
          <t>Kết quả thực tế</t>
        </is>
      </c>
      <c r="I61" s="15" t="inlineStr">
        <is>
          <t>Đánh giá</t>
        </is>
      </c>
      <c r="J61" s="15" t="inlineStr">
        <is>
          <t>Ghi chú</t>
        </is>
      </c>
    </row>
    <row r="62" ht="18" customHeight="1">
      <c r="A62" s="28" t="inlineStr">
        <is>
          <t>A. KIỂM TRA TRƯỚC KHI CHẠY (Safety pre-run checks)</t>
        </is>
      </c>
      <c r="B62" s="43" t="n"/>
      <c r="C62" s="43" t="n"/>
      <c r="D62" s="43" t="n"/>
      <c r="E62" s="43" t="n"/>
      <c r="F62" s="43" t="n"/>
      <c r="G62" s="43" t="n"/>
      <c r="H62" s="43" t="n"/>
      <c r="I62" s="43" t="n"/>
      <c r="J62" s="42" t="n"/>
    </row>
    <row r="63" ht="33.75" customHeight="1">
      <c r="A63" s="22" t="inlineStr">
        <is>
          <t>A.1</t>
        </is>
      </c>
      <c r="B63" s="18" t="inlineStr">
        <is>
          <t>Xác nhận hoàn thành nghiệm thu lắp đặt tĩnh</t>
        </is>
      </c>
      <c r="C63" s="43" t="n"/>
      <c r="D63" s="42" t="n"/>
      <c r="E63" s="18" t="inlineStr">
        <is>
          <t>BB số 1/TM/BBNLT/...</t>
        </is>
      </c>
      <c r="F63" s="43" t="n"/>
      <c r="G63" s="42" t="n"/>
      <c r="H63" s="22" t="inlineStr">
        <is>
          <t>Đạt</t>
        </is>
      </c>
      <c r="I63" s="22" t="inlineStr">
        <is>
          <t>☑ Đạt</t>
        </is>
      </c>
      <c r="J63" s="18" t="n"/>
    </row>
    <row r="64" ht="33.75" customHeight="1">
      <c r="A64" s="22" t="inlineStr">
        <is>
          <t>A.2</t>
        </is>
      </c>
      <c r="B64" s="18" t="inlineStr">
        <is>
          <t>Kiểm tra cabin trống, không có vật cản trong hố thang</t>
        </is>
      </c>
      <c r="C64" s="43" t="n"/>
      <c r="D64" s="42" t="n"/>
      <c r="E64" s="18" t="inlineStr">
        <is>
          <t>Kiểm tra trực quan</t>
        </is>
      </c>
      <c r="F64" s="43" t="n"/>
      <c r="G64" s="42" t="n"/>
      <c r="H64" s="22" t="inlineStr">
        <is>
          <t>Đạt</t>
        </is>
      </c>
      <c r="I64" s="22" t="inlineStr">
        <is>
          <t>☑ Đạt</t>
        </is>
      </c>
      <c r="J64" s="18" t="n"/>
    </row>
    <row r="65" ht="33.75" customHeight="1">
      <c r="A65" s="22" t="inlineStr">
        <is>
          <t>A.3</t>
        </is>
      </c>
      <c r="B65" s="18" t="inlineStr">
        <is>
          <t>Tất cả cửa tầng đóng, khóa trước khi cấp điện</t>
        </is>
      </c>
      <c r="C65" s="43" t="n"/>
      <c r="D65" s="42" t="n"/>
      <c r="E65" s="18" t="inlineStr">
        <is>
          <t>TCVN 6396-20:2017 §11.7</t>
        </is>
      </c>
      <c r="F65" s="43" t="n"/>
      <c r="G65" s="42" t="n"/>
      <c r="H65" s="22" t="inlineStr">
        <is>
          <t>Đạt</t>
        </is>
      </c>
      <c r="I65" s="22" t="inlineStr">
        <is>
          <t>☑ Đạt</t>
        </is>
      </c>
      <c r="J65" s="18" t="n"/>
    </row>
    <row r="66" ht="33.75" customHeight="1">
      <c r="A66" s="22" t="inlineStr">
        <is>
          <t>A.4</t>
        </is>
      </c>
      <c r="B66" s="18" t="inlineStr">
        <is>
          <t>Nguồn điện chính ổn định, điện áp đúng ±5%</t>
        </is>
      </c>
      <c r="C66" s="43" t="n"/>
      <c r="D66" s="42" t="n"/>
      <c r="E66" s="18" t="inlineStr">
        <is>
          <t>§13.1.1</t>
        </is>
      </c>
      <c r="F66" s="43" t="n"/>
      <c r="G66" s="42" t="n"/>
      <c r="H66" s="22" t="inlineStr">
        <is>
          <t>Đạt</t>
        </is>
      </c>
      <c r="I66" s="22" t="inlineStr">
        <is>
          <t>☑ Đạt</t>
        </is>
      </c>
      <c r="J66" s="18" t="n"/>
    </row>
    <row r="67" ht="18" customHeight="1">
      <c r="A67" s="28" t="inlineStr">
        <is>
          <t>B. HÀNH TRÌNH VẬN HÀNH (TCVN 6396-20:2017)</t>
        </is>
      </c>
      <c r="B67" s="43" t="n"/>
      <c r="C67" s="43" t="n"/>
      <c r="D67" s="43" t="n"/>
      <c r="E67" s="43" t="n"/>
      <c r="F67" s="43" t="n"/>
      <c r="G67" s="43" t="n"/>
      <c r="H67" s="43" t="n"/>
      <c r="I67" s="43" t="n"/>
      <c r="J67" s="42" t="n"/>
    </row>
    <row r="68" ht="33.75" customHeight="1">
      <c r="A68" s="22" t="inlineStr">
        <is>
          <t>B.1</t>
        </is>
      </c>
      <c r="B68" s="18" t="inlineStr">
        <is>
          <t>Thang chạy lên/xuống đầy đủ từ tầng thấp nhất đến cao nhất</t>
        </is>
      </c>
      <c r="C68" s="43" t="n"/>
      <c r="D68" s="42" t="n"/>
      <c r="E68" s="18" t="inlineStr">
        <is>
          <t>§12.1</t>
        </is>
      </c>
      <c r="F68" s="43" t="n"/>
      <c r="G68" s="42" t="n"/>
      <c r="H68" s="22" t="inlineStr">
        <is>
          <t>Đạt</t>
        </is>
      </c>
      <c r="I68" s="22" t="inlineStr">
        <is>
          <t>☑ Đạt</t>
        </is>
      </c>
      <c r="J68" s="18" t="n"/>
    </row>
    <row r="69" ht="33.75" customHeight="1">
      <c r="A69" s="22" t="inlineStr">
        <is>
          <t>B.2</t>
        </is>
      </c>
      <c r="B69" s="18" t="inlineStr">
        <is>
          <t>Thang dừng đúng tầng, độ lệch sàn ≤ ±10mm khi không tải</t>
        </is>
      </c>
      <c r="C69" s="43" t="n"/>
      <c r="D69" s="42" t="n"/>
      <c r="E69" s="18" t="inlineStr">
        <is>
          <t>§5.7.2</t>
        </is>
      </c>
      <c r="F69" s="43" t="n"/>
      <c r="G69" s="42" t="n"/>
      <c r="H69" s="22" t="inlineStr">
        <is>
          <t>Đạt</t>
        </is>
      </c>
      <c r="I69" s="22" t="inlineStr">
        <is>
          <t>☑ Đạt</t>
        </is>
      </c>
      <c r="J69" s="18" t="n"/>
    </row>
    <row r="70" ht="33.75" customHeight="1">
      <c r="A70" s="22" t="inlineStr">
        <is>
          <t>B.3</t>
        </is>
      </c>
      <c r="B70" s="18" t="inlineStr">
        <is>
          <t>Mở cửa tầng và cửa cabin đúng tầng, đồng bộ</t>
        </is>
      </c>
      <c r="C70" s="43" t="n"/>
      <c r="D70" s="42" t="n"/>
      <c r="E70" s="18" t="inlineStr">
        <is>
          <t>§11.3</t>
        </is>
      </c>
      <c r="F70" s="43" t="n"/>
      <c r="G70" s="42" t="n"/>
      <c r="H70" s="22" t="inlineStr">
        <is>
          <t>Đạt</t>
        </is>
      </c>
      <c r="I70" s="22" t="inlineStr">
        <is>
          <t>☑ Đạt</t>
        </is>
      </c>
      <c r="J70" s="18" t="n"/>
    </row>
    <row r="71" ht="33.75" customHeight="1">
      <c r="A71" s="22" t="inlineStr">
        <is>
          <t>B.4</t>
        </is>
      </c>
      <c r="B71" s="18" t="inlineStr">
        <is>
          <t>Thời gian mở cửa ≥ 2 giây (đủ để người ra/vào)</t>
        </is>
      </c>
      <c r="C71" s="43" t="n"/>
      <c r="D71" s="42" t="n"/>
      <c r="E71" s="18" t="inlineStr">
        <is>
          <t>§11.3.3</t>
        </is>
      </c>
      <c r="F71" s="43" t="n"/>
      <c r="G71" s="42" t="n"/>
      <c r="H71" s="22" t="inlineStr">
        <is>
          <t>Đạt</t>
        </is>
      </c>
      <c r="I71" s="22" t="inlineStr">
        <is>
          <t>☑ Đạt</t>
        </is>
      </c>
      <c r="J71" s="18" t="n"/>
    </row>
    <row r="72" ht="33.75" customHeight="1">
      <c r="A72" s="22" t="inlineStr">
        <is>
          <t>B.5</t>
        </is>
      </c>
      <c r="B72" s="18" t="inlineStr">
        <is>
          <t>Đèn, nút bấm tầng, chỉ thị tầng hoạt động đúng</t>
        </is>
      </c>
      <c r="C72" s="43" t="n"/>
      <c r="D72" s="42" t="n"/>
      <c r="E72" s="18" t="inlineStr">
        <is>
          <t>§8.10</t>
        </is>
      </c>
      <c r="F72" s="43" t="n"/>
      <c r="G72" s="42" t="n"/>
      <c r="H72" s="22" t="inlineStr">
        <is>
          <t>Đạt</t>
        </is>
      </c>
      <c r="I72" s="22" t="inlineStr">
        <is>
          <t>☑ Đạt</t>
        </is>
      </c>
      <c r="J72" s="18" t="n"/>
    </row>
    <row r="73" ht="18" customHeight="1">
      <c r="A73" s="28" t="inlineStr">
        <is>
          <t>C. THIẾT BỊ AN TOÀN (TCVN 6396-20:2017 §14)</t>
        </is>
      </c>
      <c r="B73" s="43" t="n"/>
      <c r="C73" s="43" t="n"/>
      <c r="D73" s="43" t="n"/>
      <c r="E73" s="43" t="n"/>
      <c r="F73" s="43" t="n"/>
      <c r="G73" s="43" t="n"/>
      <c r="H73" s="43" t="n"/>
      <c r="I73" s="43" t="n"/>
      <c r="J73" s="42" t="n"/>
    </row>
    <row r="74" ht="33.75" customHeight="1">
      <c r="A74" s="22" t="inlineStr">
        <is>
          <t>C.1</t>
        </is>
      </c>
      <c r="B74" s="18" t="inlineStr">
        <is>
          <t>Công tắc hạn chế hành trình trên tác động đúng vị trí</t>
        </is>
      </c>
      <c r="C74" s="43" t="n"/>
      <c r="D74" s="42" t="n"/>
      <c r="E74" s="18" t="inlineStr">
        <is>
          <t>§14.1</t>
        </is>
      </c>
      <c r="F74" s="43" t="n"/>
      <c r="G74" s="42" t="n"/>
      <c r="H74" s="22" t="inlineStr">
        <is>
          <t>Đạt</t>
        </is>
      </c>
      <c r="I74" s="22" t="inlineStr">
        <is>
          <t>☑ Đạt</t>
        </is>
      </c>
      <c r="J74" s="18" t="n"/>
    </row>
    <row r="75" ht="33.75" customHeight="1">
      <c r="A75" s="22" t="inlineStr">
        <is>
          <t>C.2</t>
        </is>
      </c>
      <c r="B75" s="18" t="inlineStr">
        <is>
          <t>Công tắc hạn chế hành trình dưới tác động đúng vị trí</t>
        </is>
      </c>
      <c r="C75" s="43" t="n"/>
      <c r="D75" s="42" t="n"/>
      <c r="E75" s="18" t="inlineStr">
        <is>
          <t>§14.1</t>
        </is>
      </c>
      <c r="F75" s="43" t="n"/>
      <c r="G75" s="42" t="n"/>
      <c r="H75" s="22" t="inlineStr">
        <is>
          <t>Đạt</t>
        </is>
      </c>
      <c r="I75" s="22" t="inlineStr">
        <is>
          <t>☑ Đạt</t>
        </is>
      </c>
      <c r="J75" s="18" t="n"/>
    </row>
    <row r="76" ht="33.75" customHeight="1">
      <c r="A76" s="22" t="inlineStr">
        <is>
          <t>C.3</t>
        </is>
      </c>
      <c r="B76" s="18" t="inlineStr">
        <is>
          <t>Thử công tắc cửa tầng: mở cửa 1 tầng → thang không chạy</t>
        </is>
      </c>
      <c r="C76" s="43" t="n"/>
      <c r="D76" s="42" t="n"/>
      <c r="E76" s="18" t="inlineStr">
        <is>
          <t>§11.7</t>
        </is>
      </c>
      <c r="F76" s="43" t="n"/>
      <c r="G76" s="42" t="n"/>
      <c r="H76" s="22" t="inlineStr">
        <is>
          <t>Đạt</t>
        </is>
      </c>
      <c r="I76" s="22" t="inlineStr">
        <is>
          <t>☑ Đạt</t>
        </is>
      </c>
      <c r="J76" s="18" t="n"/>
    </row>
    <row r="77" ht="33.75" customHeight="1">
      <c r="A77" s="22" t="inlineStr">
        <is>
          <t>C.4</t>
        </is>
      </c>
      <c r="B77" s="18" t="inlineStr">
        <is>
          <t>Thử công tắc dừng khẩn cấp (E-Stop) nóc cabin hoạt động</t>
        </is>
      </c>
      <c r="C77" s="43" t="n"/>
      <c r="D77" s="42" t="n"/>
      <c r="E77" s="18" t="inlineStr">
        <is>
          <t>§14.2.2</t>
        </is>
      </c>
      <c r="F77" s="43" t="n"/>
      <c r="G77" s="42" t="n"/>
      <c r="H77" s="22" t="inlineStr">
        <is>
          <t>Đạt</t>
        </is>
      </c>
      <c r="I77" s="22" t="inlineStr">
        <is>
          <t>☑ Đạt</t>
        </is>
      </c>
      <c r="J77" s="18" t="n"/>
    </row>
    <row r="78" ht="33.75" customHeight="1">
      <c r="A78" s="22" t="inlineStr">
        <is>
          <t>C.5</t>
        </is>
      </c>
      <c r="B78" s="18" t="inlineStr">
        <is>
          <t>Thử công tắc dừng khẩn cấp tại pit hoạt động</t>
        </is>
      </c>
      <c r="C78" s="43" t="n"/>
      <c r="D78" s="42" t="n"/>
      <c r="E78" s="18" t="inlineStr">
        <is>
          <t>§14.2.2</t>
        </is>
      </c>
      <c r="F78" s="43" t="n"/>
      <c r="G78" s="42" t="n"/>
      <c r="H78" s="22" t="inlineStr">
        <is>
          <t>Đạt</t>
        </is>
      </c>
      <c r="I78" s="22" t="inlineStr">
        <is>
          <t>☑ Đạt</t>
        </is>
      </c>
      <c r="J78" s="18" t="n"/>
    </row>
    <row r="79" ht="33.75" customHeight="1">
      <c r="A79" s="22" t="inlineStr">
        <is>
          <t>C.6</t>
        </is>
      </c>
      <c r="B79" s="18" t="inlineStr">
        <is>
          <t>Phanh điện từ (electromagnetic brake) nhả/đóng đúng chu kỳ</t>
        </is>
      </c>
      <c r="C79" s="43" t="n"/>
      <c r="D79" s="42" t="n"/>
      <c r="E79" s="18" t="inlineStr">
        <is>
          <t>§12.4</t>
        </is>
      </c>
      <c r="F79" s="43" t="n"/>
      <c r="G79" s="42" t="n"/>
      <c r="H79" s="22" t="inlineStr">
        <is>
          <t>Đạt</t>
        </is>
      </c>
      <c r="I79" s="22" t="inlineStr">
        <is>
          <t>☑ Đạt</t>
        </is>
      </c>
      <c r="J79" s="18" t="n"/>
    </row>
    <row r="80" ht="18" customHeight="1">
      <c r="A80" s="28" t="inlineStr">
        <is>
          <t>D. CHẤT LƯỢNG VẬN HÀNH</t>
        </is>
      </c>
      <c r="B80" s="43" t="n"/>
      <c r="C80" s="43" t="n"/>
      <c r="D80" s="43" t="n"/>
      <c r="E80" s="43" t="n"/>
      <c r="F80" s="43" t="n"/>
      <c r="G80" s="43" t="n"/>
      <c r="H80" s="43" t="n"/>
      <c r="I80" s="43" t="n"/>
      <c r="J80" s="42" t="n"/>
    </row>
    <row r="81" ht="33.75" customHeight="1">
      <c r="A81" s="22" t="inlineStr">
        <is>
          <t>D.1</t>
        </is>
      </c>
      <c r="B81" s="18" t="inlineStr">
        <is>
          <t>Độ êm khi khởi động và phanh (gia tốc ≤ 1 m/s²)</t>
        </is>
      </c>
      <c r="C81" s="43" t="n"/>
      <c r="D81" s="42" t="n"/>
      <c r="E81" s="18" t="inlineStr">
        <is>
          <t>§8.1, EN 81-20 §5.12</t>
        </is>
      </c>
      <c r="F81" s="43" t="n"/>
      <c r="G81" s="42" t="n"/>
      <c r="H81" s="22" t="inlineStr">
        <is>
          <t>Đạt</t>
        </is>
      </c>
      <c r="I81" s="22" t="inlineStr">
        <is>
          <t>☑ Đạt</t>
        </is>
      </c>
      <c r="J81" s="18" t="n"/>
    </row>
    <row r="82" ht="33.75" customHeight="1">
      <c r="A82" s="22" t="inlineStr">
        <is>
          <t>D.2</t>
        </is>
      </c>
      <c r="B82" s="18" t="inlineStr">
        <is>
          <t>Tiếng ồn vận hành ≤ 55 dB(A) trong cabin</t>
        </is>
      </c>
      <c r="C82" s="43" t="n"/>
      <c r="D82" s="42" t="n"/>
      <c r="E82" s="18" t="inlineStr">
        <is>
          <t>EN 81-20 §5.12</t>
        </is>
      </c>
      <c r="F82" s="43" t="n"/>
      <c r="G82" s="42" t="n"/>
      <c r="H82" s="22" t="inlineStr">
        <is>
          <t>Đạt</t>
        </is>
      </c>
      <c r="I82" s="22" t="inlineStr">
        <is>
          <t>☑ Đạt</t>
        </is>
      </c>
      <c r="J82" s="18" t="n"/>
    </row>
    <row r="83" ht="33.75" customHeight="1">
      <c r="A83" s="22" t="inlineStr">
        <is>
          <t>D.3</t>
        </is>
      </c>
      <c r="B83" s="18" t="inlineStr">
        <is>
          <t>Không có rung, giật bất thường trong hành trình</t>
        </is>
      </c>
      <c r="C83" s="43" t="n"/>
      <c r="D83" s="42" t="n"/>
      <c r="E83" s="18" t="inlineStr">
        <is>
          <t>Kiểm tra cảm quan</t>
        </is>
      </c>
      <c r="F83" s="43" t="n"/>
      <c r="G83" s="42" t="n"/>
      <c r="H83" s="22" t="inlineStr">
        <is>
          <t>Đạt</t>
        </is>
      </c>
      <c r="I83" s="22" t="inlineStr">
        <is>
          <t>☑ Đạt</t>
        </is>
      </c>
      <c r="J83" s="18" t="n"/>
    </row>
    <row r="84" ht="33.75" customHeight="1">
      <c r="A84" s="22" t="inlineStr">
        <is>
          <t>D.4</t>
        </is>
      </c>
      <c r="B84" s="18" t="inlineStr">
        <is>
          <t>Tốc độ vận hành đạt ±5% tốc độ định mức</t>
        </is>
      </c>
      <c r="C84" s="43" t="n"/>
      <c r="D84" s="42" t="n"/>
      <c r="E84" s="18" t="inlineStr">
        <is>
          <t>§12.1</t>
        </is>
      </c>
      <c r="F84" s="43" t="n"/>
      <c r="G84" s="42" t="n"/>
      <c r="H84" s="22" t="inlineStr">
        <is>
          <t>Đạt</t>
        </is>
      </c>
      <c r="I84" s="22" t="inlineStr">
        <is>
          <t>☑ Đạt</t>
        </is>
      </c>
      <c r="J84" s="18" t="n"/>
    </row>
    <row r="85" ht="18" customHeight="1">
      <c r="A85" s="28" t="inlineStr">
        <is>
          <t>E. HỆ THỐNG PCCC (TCVN 6396-72:2010)</t>
        </is>
      </c>
      <c r="B85" s="43" t="n"/>
      <c r="C85" s="43" t="n"/>
      <c r="D85" s="43" t="n"/>
      <c r="E85" s="43" t="n"/>
      <c r="F85" s="43" t="n"/>
      <c r="G85" s="43" t="n"/>
      <c r="H85" s="43" t="n"/>
      <c r="I85" s="43" t="n"/>
      <c r="J85" s="42" t="n"/>
    </row>
    <row r="86" ht="33.75" customHeight="1">
      <c r="A86" s="22" t="inlineStr">
        <is>
          <t>E.1</t>
        </is>
      </c>
      <c r="B86" s="18" t="inlineStr">
        <is>
          <t>Kích hoạt thử chế độ Phase 1 (tự động về tầng cứu hỏa)</t>
        </is>
      </c>
      <c r="C86" s="43" t="n"/>
      <c r="D86" s="42" t="n"/>
      <c r="E86" s="18" t="inlineStr">
        <is>
          <t>§5.7.2</t>
        </is>
      </c>
      <c r="F86" s="43" t="n"/>
      <c r="G86" s="42" t="n"/>
      <c r="H86" s="22" t="inlineStr">
        <is>
          <t>Đạt</t>
        </is>
      </c>
      <c r="I86" s="22" t="inlineStr">
        <is>
          <t>☑ Đạt</t>
        </is>
      </c>
      <c r="J86" s="18" t="n"/>
    </row>
    <row r="87" ht="33.75" customHeight="1">
      <c r="A87" s="22" t="inlineStr">
        <is>
          <t>E.2</t>
        </is>
      </c>
      <c r="B87" s="18" t="inlineStr">
        <is>
          <t>Kích hoạt thử chế độ Phase 2 (điều khiển từ trong cabin)</t>
        </is>
      </c>
      <c r="C87" s="43" t="n"/>
      <c r="D87" s="42" t="n"/>
      <c r="E87" s="18" t="inlineStr">
        <is>
          <t>§5.7.3</t>
        </is>
      </c>
      <c r="F87" s="43" t="n"/>
      <c r="G87" s="42" t="n"/>
      <c r="H87" s="22" t="inlineStr">
        <is>
          <t>Đạt</t>
        </is>
      </c>
      <c r="I87" s="22" t="inlineStr">
        <is>
          <t>☑ Đạt</t>
        </is>
      </c>
      <c r="J87" s="18" t="n"/>
    </row>
    <row r="88" ht="33.75" customHeight="1">
      <c r="A88" s="22" t="inlineStr">
        <is>
          <t>E.3</t>
        </is>
      </c>
      <c r="B88" s="18" t="inlineStr">
        <is>
          <t>Đèn tín hiệu PCCC sáng đúng khi kích hoạt</t>
        </is>
      </c>
      <c r="C88" s="43" t="n"/>
      <c r="D88" s="42" t="n"/>
      <c r="E88" s="18" t="inlineStr">
        <is>
          <t>§5.8</t>
        </is>
      </c>
      <c r="F88" s="43" t="n"/>
      <c r="G88" s="42" t="n"/>
      <c r="H88" s="22" t="inlineStr">
        <is>
          <t>Đạt</t>
        </is>
      </c>
      <c r="I88" s="22" t="inlineStr">
        <is>
          <t>☑ Đạt</t>
        </is>
      </c>
      <c r="J88" s="18" t="n"/>
    </row>
    <row r="89" ht="33.75" customHeight="1">
      <c r="A89" s="22" t="inlineStr">
        <is>
          <t>E.4</t>
        </is>
      </c>
      <c r="B89" s="18" t="inlineStr">
        <is>
          <t>Thang không đáp ứng lệnh gọi tầng thông thường khi PCCC active</t>
        </is>
      </c>
      <c r="C89" s="43" t="n"/>
      <c r="D89" s="42" t="n"/>
      <c r="E89" s="18" t="inlineStr">
        <is>
          <t>§5.7.2</t>
        </is>
      </c>
      <c r="F89" s="43" t="n"/>
      <c r="G89" s="42" t="n"/>
      <c r="H89" s="22" t="inlineStr">
        <is>
          <t>Đạt</t>
        </is>
      </c>
      <c r="I89" s="22" t="inlineStr">
        <is>
          <t>☑ Đạt</t>
        </is>
      </c>
      <c r="J89" s="18" t="n"/>
    </row>
    <row r="90" ht="18" customHeight="1">
      <c r="A90" s="28" t="inlineStr">
        <is>
          <t>F. THÔNG TIN LIÊN LẠC &amp; PHỤ TRỢ</t>
        </is>
      </c>
      <c r="B90" s="43" t="n"/>
      <c r="C90" s="43" t="n"/>
      <c r="D90" s="43" t="n"/>
      <c r="E90" s="43" t="n"/>
      <c r="F90" s="43" t="n"/>
      <c r="G90" s="43" t="n"/>
      <c r="H90" s="43" t="n"/>
      <c r="I90" s="43" t="n"/>
      <c r="J90" s="42" t="n"/>
    </row>
    <row r="91" ht="33.75" customHeight="1">
      <c r="A91" s="22" t="inlineStr">
        <is>
          <t>F.1</t>
        </is>
      </c>
      <c r="B91" s="18" t="inlineStr">
        <is>
          <t>Chuông báo động trong cabin hoạt động</t>
        </is>
      </c>
      <c r="C91" s="43" t="n"/>
      <c r="D91" s="42" t="n"/>
      <c r="E91" s="18" t="inlineStr">
        <is>
          <t>§8.9</t>
        </is>
      </c>
      <c r="F91" s="43" t="n"/>
      <c r="G91" s="42" t="n"/>
      <c r="H91" s="22" t="inlineStr">
        <is>
          <t>Đạt</t>
        </is>
      </c>
      <c r="I91" s="22" t="inlineStr">
        <is>
          <t>☑ Đạt</t>
        </is>
      </c>
      <c r="J91" s="18" t="n"/>
    </row>
    <row r="92" ht="33.75" customHeight="1">
      <c r="A92" s="22" t="inlineStr">
        <is>
          <t>F.2</t>
        </is>
      </c>
      <c r="B92" s="18" t="inlineStr">
        <is>
          <t>Điện thoại/intercom khẩn cấp kết nối được với bộ phận quản lý</t>
        </is>
      </c>
      <c r="C92" s="43" t="n"/>
      <c r="D92" s="42" t="n"/>
      <c r="E92" s="18" t="inlineStr">
        <is>
          <t>§8.9</t>
        </is>
      </c>
      <c r="F92" s="43" t="n"/>
      <c r="G92" s="42" t="n"/>
      <c r="H92" s="22" t="inlineStr">
        <is>
          <t>Đạt</t>
        </is>
      </c>
      <c r="I92" s="22" t="inlineStr">
        <is>
          <t>☑ Đạt</t>
        </is>
      </c>
      <c r="J92" s="18" t="n"/>
    </row>
    <row r="93" ht="33.75" customHeight="1">
      <c r="A93" s="22" t="inlineStr">
        <is>
          <t>F.3</t>
        </is>
      </c>
      <c r="B93" s="18" t="inlineStr">
        <is>
          <t>Đèn chiếu sáng cabin bật tự động khi có người</t>
        </is>
      </c>
      <c r="C93" s="43" t="n"/>
      <c r="D93" s="42" t="n"/>
      <c r="E93" s="18" t="inlineStr">
        <is>
          <t>§8.10</t>
        </is>
      </c>
      <c r="F93" s="43" t="n"/>
      <c r="G93" s="42" t="n"/>
      <c r="H93" s="22" t="inlineStr">
        <is>
          <t>Đạt</t>
        </is>
      </c>
      <c r="I93" s="22" t="inlineStr">
        <is>
          <t>☑ Đạt</t>
        </is>
      </c>
      <c r="J93" s="18" t="n"/>
    </row>
    <row r="94" ht="7.5" customHeight="1"/>
    <row r="95" ht="18" customHeight="1">
      <c r="A95" s="3" t="inlineStr">
        <is>
          <t>Ghi chú đánh giá:  ☑ Đạt  |  ☐ Không đạt  |  N/A: Không áp dụng</t>
        </is>
      </c>
    </row>
    <row r="96" ht="18" customHeight="1">
      <c r="A96" s="5" t="inlineStr">
        <is>
          <t>Người kiểm tra (Bên A): ….................................    Ngày: ….............</t>
        </is>
      </c>
    </row>
    <row r="97" ht="18" customHeight="1">
      <c r="A97" s="5" t="inlineStr">
        <is>
          <t>Người kiểm tra (Bên B): ….................................    Ngày: …..............</t>
        </is>
      </c>
    </row>
    <row r="98" ht="7.5" customHeight="1"/>
    <row r="99" ht="64.5" customHeight="1">
      <c r="A99" s="23">
        <f>"ĐẠI DIỆN BÊN A
"&amp;UPPER(BenA_Ten)&amp;"
(Ký, ghi rõ họ tên)
…..............................."</f>
        <v/>
      </c>
      <c r="F99" s="23">
        <f>"ĐẠI DIỆN BÊN B
"&amp;UPPER(BenB_Ten)&amp;"
(Ký, ghi rõ họ tên)
…..............................."</f>
        <v/>
      </c>
    </row>
    <row r="100" ht="7.5" customHeight="1"/>
  </sheetData>
  <mergeCells count="122">
    <mergeCell ref="A23:J23"/>
    <mergeCell ref="A43:J43"/>
    <mergeCell ref="F99:J99"/>
    <mergeCell ref="E89:G89"/>
    <mergeCell ref="B84:D84"/>
    <mergeCell ref="A34:J34"/>
    <mergeCell ref="B92:D92"/>
    <mergeCell ref="A49:J49"/>
    <mergeCell ref="E81:G81"/>
    <mergeCell ref="A36:J36"/>
    <mergeCell ref="A6:J6"/>
    <mergeCell ref="B72:D72"/>
    <mergeCell ref="E83:G83"/>
    <mergeCell ref="A3:J3"/>
    <mergeCell ref="E92:G92"/>
    <mergeCell ref="A12:J12"/>
    <mergeCell ref="B70:D70"/>
    <mergeCell ref="A95:J95"/>
    <mergeCell ref="A5:J5"/>
    <mergeCell ref="A32:J32"/>
    <mergeCell ref="A14:J14"/>
    <mergeCell ref="A97:J97"/>
    <mergeCell ref="E69:G69"/>
    <mergeCell ref="E84:G84"/>
    <mergeCell ref="B88:D88"/>
    <mergeCell ref="E78:G78"/>
    <mergeCell ref="A29:J29"/>
    <mergeCell ref="B82:D82"/>
    <mergeCell ref="A96:J96"/>
    <mergeCell ref="A38:J38"/>
    <mergeCell ref="A4:J4"/>
    <mergeCell ref="A13:J13"/>
    <mergeCell ref="E77:G77"/>
    <mergeCell ref="A44:J44"/>
    <mergeCell ref="E86:G86"/>
    <mergeCell ref="A31:J31"/>
    <mergeCell ref="A58:J58"/>
    <mergeCell ref="A40:J40"/>
    <mergeCell ref="A67:J67"/>
    <mergeCell ref="E61:G61"/>
    <mergeCell ref="B74:D74"/>
    <mergeCell ref="E70:G70"/>
    <mergeCell ref="A15:J15"/>
    <mergeCell ref="B68:D68"/>
    <mergeCell ref="B83:D83"/>
    <mergeCell ref="A73:J73"/>
    <mergeCell ref="A24:J24"/>
    <mergeCell ref="A60:J60"/>
    <mergeCell ref="E72:G72"/>
    <mergeCell ref="B76:D76"/>
    <mergeCell ref="A7:J7"/>
    <mergeCell ref="B75:D75"/>
    <mergeCell ref="A16:J16"/>
    <mergeCell ref="A25:J25"/>
    <mergeCell ref="E71:G71"/>
    <mergeCell ref="A18:J18"/>
    <mergeCell ref="E79:G79"/>
    <mergeCell ref="A50:J50"/>
    <mergeCell ref="E88:G88"/>
    <mergeCell ref="E82:G82"/>
    <mergeCell ref="A2:J2"/>
    <mergeCell ref="A42:J42"/>
    <mergeCell ref="E63:G63"/>
    <mergeCell ref="A47:J47"/>
    <mergeCell ref="A22:J22"/>
    <mergeCell ref="A62:J62"/>
    <mergeCell ref="E65:G65"/>
    <mergeCell ref="E74:G74"/>
    <mergeCell ref="A20:J20"/>
    <mergeCell ref="B78:D78"/>
    <mergeCell ref="B87:D87"/>
    <mergeCell ref="A28:J28"/>
    <mergeCell ref="A30:J30"/>
    <mergeCell ref="A59:J59"/>
    <mergeCell ref="B65:D65"/>
    <mergeCell ref="A51:J51"/>
    <mergeCell ref="B63:D63"/>
    <mergeCell ref="B91:D91"/>
    <mergeCell ref="A90:J90"/>
    <mergeCell ref="A41:J41"/>
    <mergeCell ref="B66:D66"/>
    <mergeCell ref="A56:J56"/>
    <mergeCell ref="A27:J27"/>
    <mergeCell ref="B93:D93"/>
    <mergeCell ref="E64:G64"/>
    <mergeCell ref="B77:D77"/>
    <mergeCell ref="E87:G87"/>
    <mergeCell ref="B86:D86"/>
    <mergeCell ref="A33:J33"/>
    <mergeCell ref="A85:J85"/>
    <mergeCell ref="F53:J53"/>
    <mergeCell ref="A8:J8"/>
    <mergeCell ref="B61:D61"/>
    <mergeCell ref="A17:J17"/>
    <mergeCell ref="A35:J35"/>
    <mergeCell ref="B69:D69"/>
    <mergeCell ref="A10:J10"/>
    <mergeCell ref="A19:J19"/>
    <mergeCell ref="A9:J9"/>
    <mergeCell ref="A39:J39"/>
    <mergeCell ref="A99:E99"/>
    <mergeCell ref="A48:J48"/>
    <mergeCell ref="E76:G76"/>
    <mergeCell ref="E91:G91"/>
    <mergeCell ref="B64:D64"/>
    <mergeCell ref="A11:J11"/>
    <mergeCell ref="B89:D89"/>
    <mergeCell ref="A45:J45"/>
    <mergeCell ref="E66:G66"/>
    <mergeCell ref="B79:D79"/>
    <mergeCell ref="E75:G75"/>
    <mergeCell ref="E93:G93"/>
    <mergeCell ref="E68:G68"/>
    <mergeCell ref="B81:D81"/>
    <mergeCell ref="A53:E53"/>
    <mergeCell ref="A80:J80"/>
    <mergeCell ref="A46:J46"/>
    <mergeCell ref="A37:J37"/>
    <mergeCell ref="B71:D71"/>
    <mergeCell ref="A21:J21"/>
    <mergeCell ref="A57:J57"/>
    <mergeCell ref="A26:J26"/>
  </mergeCells>
  <pageMargins left="0.7" right="0.45" top="0.5" bottom="0.5" header="0.511811023622047" footer="0.511811023622047"/>
  <pageSetup orientation="portrait" paperSize="9" scale="93" fitToHeight="0" horizontalDpi="300" verticalDpi="300"/>
  <rowBreaks count="1" manualBreakCount="1">
    <brk id="53" min="0" max="16383" man="1"/>
  </rowBreaks>
</worksheet>
</file>

<file path=xl/worksheets/sheet7.xml><?xml version="1.0" encoding="utf-8"?>
<worksheet xmlns="http://schemas.openxmlformats.org/spreadsheetml/2006/main">
  <sheetPr>
    <tabColor rgb="FF4472C4"/>
    <outlinePr summaryBelow="1" summaryRight="1"/>
    <pageSetUpPr fitToPage="1"/>
  </sheetPr>
  <dimension ref="A1:J31"/>
  <sheetViews>
    <sheetView view="pageBreakPreview"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"&amp;IF(LEN(DanhMuc!$E$9)=10,"ngày "&amp;LEFT(DanhMuc!$E$9,2)&amp;" tháng "&amp;MID(DanhMuc!$E$9,4,2)&amp;" năm "&amp;RIGHT(DanhMuc!$E$9,4),"ngày …... tháng …... năm 2026")&amp;"."</f>
        <v/>
      </c>
    </row>
    <row r="5" ht="18" customHeight="1">
      <c r="A5" s="8" t="inlineStr">
        <is>
          <t>PHIẾU YÊU CẦU NGHIỆM THU</t>
        </is>
      </c>
    </row>
    <row r="6" ht="18" customHeight="1">
      <c r="A6" s="8">
        <f>UPPER(SUBSTITUTE(DanhMuc!$C$9,"Phiếu yêu cầu nghiệm thu ",""))</f>
        <v/>
      </c>
    </row>
    <row r="7" ht="18" customHeight="1">
      <c r="A7" s="8">
        <f>"SỐ: "&amp;DanhMuc!$D$9</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chạy thử đảm bảo các yêu cầu kỹ thuật và đủ điều kiện nghiệm thu.</t>
        </is>
      </c>
    </row>
    <row r="24" ht="18" customHeight="1">
      <c r="A24" s="4">
        <f>"Đề nghị Bên A (Bên Mua) - "&amp;BenA_Ten&amp;" tổ chức nghiệm thu:"</f>
        <v/>
      </c>
    </row>
    <row r="25" ht="18" customHeight="1">
      <c r="A25" s="5">
        <f>"Thời gian nghiệm thu:      "&amp;IF(DanhMuc!$F$9="","10h00",DanhMuc!$F$9)&amp;" "&amp;IF(LEN(DanhMuc!$H$9)=10,"Ngày "&amp;LEFT(DanhMuc!$H$9,2)&amp;" Tháng "&amp;MID(DanhMuc!$H$9,4,2)&amp;" Năm "&amp;RIGHT(DanhMuc!$H$9,4),"Ngày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chạy thử đơn động có tải số "&amp;DanhMuc!$D$10&amp;"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8.xml><?xml version="1.0" encoding="utf-8"?>
<worksheet xmlns="http://schemas.openxmlformats.org/spreadsheetml/2006/main">
  <sheetPr>
    <tabColor rgb="FF70AD47"/>
    <outlinePr summaryBelow="1" summaryRight="1"/>
    <pageSetUpPr fitToPage="1"/>
  </sheetPr>
  <dimension ref="A2:J99"/>
  <sheetViews>
    <sheetView view="pageBreakPreview" topLeftCell="A52" zoomScale="60" zoomScaleNormal="100" workbookViewId="0">
      <selection activeCell="A53" sqref="A53:XFD53"/>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"&amp;IF(LEN(DanhMuc!$E$10)=10,"ngày "&amp;LEFT(DanhMuc!$E$10,2)&amp;" tháng "&amp;MID(DanhMuc!$E$10,4,2)&amp;" năm "&amp;RIGHT(DanhMuc!$E$10,4),"ngày …... tháng …... năm 2026")</f>
        <v/>
      </c>
    </row>
    <row r="6" ht="18" customHeight="1">
      <c r="A6" s="8">
        <f>UPPER(DanhMuc!$C$10)</f>
        <v/>
      </c>
    </row>
    <row r="7" ht="18" customHeight="1">
      <c r="A7" s="8" t="inlineStr">
        <is>
          <t>THANG MÁY P3</t>
        </is>
      </c>
    </row>
    <row r="8" ht="18" customHeight="1">
      <c r="A8" s="8">
        <f>"SỐ: "&amp;DanhMuc!$D$10</f>
        <v/>
      </c>
    </row>
    <row r="9" ht="18" customHeight="1">
      <c r="A9" s="5">
        <f>"Dự án: "&amp;DuAn</f>
        <v/>
      </c>
    </row>
    <row r="10" ht="33.75" customHeight="1">
      <c r="A10" s="5">
        <f>"Gói thầu: "&amp;GoiThau</f>
        <v/>
      </c>
    </row>
    <row r="11" ht="18" customHeight="1">
      <c r="A11" s="5">
        <f>"Hạng mục: "&amp;HangMuc</f>
        <v/>
      </c>
    </row>
    <row r="12" ht="18" customHeight="1">
      <c r="A12" s="5">
        <f>"Địa điểm: "&amp;DiaDiem</f>
        <v/>
      </c>
    </row>
    <row r="13" ht="18" customHeight="1">
      <c r="A13" s="4" t="inlineStr">
        <is>
          <t>1. Đối tượng nghiệm thu:</t>
        </is>
      </c>
    </row>
    <row r="14" ht="33.75" customHeight="1">
      <c r="A14" s="24" t="inlineStr">
        <is>
          <t>Thang máy P3 (thang máy chở người/PCCC có phòng máy, Schindler) - Chạy thử đơn động có tải (25%, 50%, 75%, 100%, 110% tải định mức).</t>
        </is>
      </c>
    </row>
    <row r="15" ht="18" customHeight="1">
      <c r="A15" s="4" t="inlineStr">
        <is>
          <t>2. Thành phần nghiệm thu:</t>
        </is>
      </c>
    </row>
    <row r="16" ht="33.75" customHeight="1">
      <c r="A16" s="24">
        <f>"- Đại diện Bên A (Bên Mua): "&amp;BenA_Ten</f>
        <v/>
      </c>
    </row>
    <row r="17" ht="33.75" customHeight="1">
      <c r="A17" s="24">
        <f>"  Ông/Bà: "&amp;IF(BenA_NT1="","…......................................",BenA_NT1)&amp;"          Chức vụ: "&amp;IF(BenA_NT1_CV="","…....................",BenA_NT1_CV)</f>
        <v/>
      </c>
    </row>
    <row r="18" ht="33.75" customHeight="1">
      <c r="A18" s="24">
        <f>"  Ông/Bà: "&amp;IF(BenA_NT2="","…......................................",BenA_NT2)&amp;"          Chức vụ: "&amp;IF(BenA_NT2_CV="","…....................",BenA_NT2_CV)</f>
        <v/>
      </c>
    </row>
    <row r="19" ht="33.75" customHeight="1">
      <c r="A19" s="24">
        <f>"- Đại diện Bên B (Bên Bán): "&amp;BenB_Ten</f>
        <v/>
      </c>
    </row>
    <row r="20" ht="18" customHeight="1">
      <c r="A20" s="24">
        <f>"  Ông/Bà: "&amp;IF(BenB_NT1="","…......................................",BenB_NT1)&amp;"          Chức vụ: "&amp;IF(BenB_NT1_CV="","…....................",BenB_NT1_CV)</f>
        <v/>
      </c>
    </row>
    <row r="21" ht="33.75" customHeight="1">
      <c r="A21" s="24">
        <f>"  Ông/Bà: "&amp;IF(BenB_NT2="","…......................................",BenB_NT2)&amp;"          Chức vụ: "&amp;IF(BenB_NT2_CV="","…....................",BenB_NT2_CV)</f>
        <v/>
      </c>
    </row>
    <row r="22" ht="18" customHeight="1">
      <c r="A22" s="4" t="inlineStr">
        <is>
          <t>3. Thời gian và địa điểm nghiệm thu:</t>
        </is>
      </c>
    </row>
    <row r="23" ht="18" customHeight="1">
      <c r="A23" s="24">
        <f>"- Bắt đầu: "&amp;IF(DanhMuc!$F$10="","…....... giờ …....... phút",DanhMuc!$F$10)&amp;", "&amp;IF(LEN(DanhMuc!$H$10)=10,"ngày "&amp;LEFT(DanhMuc!$H$10,2)&amp;" tháng "&amp;MID(DanhMuc!$H$10,4,2)&amp;" năm "&amp;RIGHT(DanhMuc!$H$10,4),"ngày …....... tháng …....... năm 2026")</f>
        <v/>
      </c>
    </row>
    <row r="24" ht="18" customHeight="1">
      <c r="A24" s="24">
        <f>"- Kết thúc: "&amp;IF(DanhMuc!$G$10="","…....... giờ …....... phút",DanhMuc!$G$10)&amp;", "&amp;IF(LEN(DanhMuc!$H$10)=10,"ngày "&amp;LEFT(DanhMuc!$H$10,2)&amp;" tháng "&amp;MID(DanhMuc!$H$10,4,2)&amp;" năm "&amp;RIGHT(DanhMuc!$H$10,4),"ngày …....... tháng …....... năm 2026")</f>
        <v/>
      </c>
    </row>
    <row r="25" ht="33.75" customHeight="1">
      <c r="A25" s="24" t="inlineStr">
        <is>
          <t>- Tại: Công trường Tòa nhà Trung tâm Điều hành, Khu Trung tâm ĐHQG Hà Nội, xã Hòa Lạc, Hà Nội</t>
        </is>
      </c>
    </row>
    <row r="26" ht="18" customHeight="1">
      <c r="A26" s="4" t="inlineStr">
        <is>
          <t>4. Căn cứ nghiệm thu:</t>
        </is>
      </c>
    </row>
    <row r="27" ht="18" customHeight="1">
      <c r="A27" s="25" t="inlineStr">
        <is>
          <t>a) Tài liệu pháp lý và hợp đồng:</t>
        </is>
      </c>
    </row>
    <row r="28" ht="33.75" customHeight="1">
      <c r="A28" s="26">
        <f>"- Hợp đồng mua bán số "&amp;SoHD&amp;" ký ngày "&amp;NgayHD&amp;" giữa "&amp;BenA_Ten&amp;" (Bên A) và "&amp;BenB_Ten&amp;" (Bên B)."</f>
        <v/>
      </c>
    </row>
    <row r="29" ht="18" customHeight="1">
      <c r="A29" s="26">
        <f>"- "&amp;"Phụ lục Hợp đồng số "&amp;SoPL&amp;" ký ngày "&amp;NgayPL&amp;" của Hợp đồng số "&amp;SoHD&amp;"."</f>
        <v/>
      </c>
    </row>
    <row r="30" ht="18" customHeight="1">
      <c r="A30" s="26" t="inlineStr">
        <is>
          <t>- Hồ sơ thiết kế, bản vẽ thi công thang máy được hai Bên phê duyệt.</t>
        </is>
      </c>
    </row>
    <row r="31" ht="18" customHeight="1">
      <c r="A31" s="26">
        <f>"- Biên bản nghiệm thu vật tư thiết bị số: 1/TM/BBNTVL-TB/"&amp;MaDA&amp;" ngày "&amp;NgayBBVT&amp;"."</f>
        <v/>
      </c>
    </row>
    <row r="32" ht="18" customHeight="1">
      <c r="A32" s="26">
        <f>"- Biên bản nghiệm thu đơn động không tải số: "&amp;DanhMuc!$D$8</f>
        <v/>
      </c>
    </row>
    <row r="33" ht="18" customHeight="1">
      <c r="A33" s="25" t="inlineStr">
        <is>
          <t>b) Quy chuẩn, tiêu chuẩn áp dụng:</t>
        </is>
      </c>
    </row>
    <row r="34" ht="18" customHeight="1">
      <c r="A34" s="26" t="inlineStr">
        <is>
          <t>- Nghị định 06/2021/NĐ-CP: Quản lý chất lượng và bảo trì công trình xây dựng;</t>
        </is>
      </c>
    </row>
    <row r="35" ht="18" customHeight="1">
      <c r="A35" s="26" t="inlineStr">
        <is>
          <t>- Thông tư 10/2021/TT-BXD hướng dẫn thi hành Nghị định 06/2021/NĐ-CP;</t>
        </is>
      </c>
    </row>
    <row r="36" ht="33.75" customHeight="1">
      <c r="A36" s="26" t="inlineStr">
        <is>
          <t>- QCVN 02:2019/BLĐTBXH: Quy chuẩn kỹ thuật quốc gia về an toàn lao động đối với thang máy;</t>
        </is>
      </c>
    </row>
    <row r="37" ht="33.75" customHeight="1">
      <c r="A37" s="26" t="inlineStr">
        <is>
          <t>- TCVN 6396-20:2017 (EN 81-20:2014): Yêu cầu an toàn về cấu tạo và lắp đặt thang máy chở người;</t>
        </is>
      </c>
    </row>
    <row r="38" ht="18" customHeight="1">
      <c r="A38" s="26" t="inlineStr">
        <is>
          <t>- TCVN 6396-72:2010 (EN 81-72:2003): Thang máy chữa cháy - yêu cầu an toàn;</t>
        </is>
      </c>
    </row>
    <row r="39" ht="18" customHeight="1">
      <c r="A39" s="26" t="inlineStr">
        <is>
          <t>- Và các tiêu chuẩn liên quan khác.</t>
        </is>
      </c>
    </row>
    <row r="40" ht="18" customHeight="1">
      <c r="A40" s="25" t="inlineStr">
        <is>
          <t>c) Tài liệu kỹ thuật:</t>
        </is>
      </c>
    </row>
    <row r="41" ht="33.75" customHeight="1">
      <c r="A41" s="26" t="inlineStr">
        <is>
          <t>- Nhật ký thi công, nhật ký giám sát và các văn bản liên quan đến đối tượng nghiệm thu.</t>
        </is>
      </c>
    </row>
    <row r="42" ht="18" customHeight="1">
      <c r="A42" s="26" t="inlineStr">
        <is>
          <t>- Catalogue kỹ thuật và chứng chỉ chất lượng của nhà sản xuất Schindler.</t>
        </is>
      </c>
    </row>
    <row r="43" ht="18" customHeight="1">
      <c r="A43" s="4" t="inlineStr">
        <is>
          <t>5. Nội dung chạy thử đơn động có tải:</t>
        </is>
      </c>
    </row>
    <row r="44" ht="49.5" customHeight="1">
      <c r="A44" s="24" t="inlineStr">
        <is>
          <t>Vận hành thang máy P3 có tải theo từng mức: kiểm tra phanh an toàn, bộ giảm chấn, thiết bị bảo vệ quá tải, thử nghiệm PCCC có tải. Kết quả chi tiết xem Phụ lục Checklist.</t>
        </is>
      </c>
    </row>
    <row r="45" ht="18" customHeight="1">
      <c r="A45" s="4" t="inlineStr">
        <is>
          <t>6. Kết quả chạy thử:</t>
        </is>
      </c>
    </row>
    <row r="46" ht="33.75" customHeight="1">
      <c r="A46" s="24" t="inlineStr">
        <is>
          <t>- Thang máy P3 vận hành an toàn ở tất cả mức tải. Thiết bị an toàn hoạt động đúng. Tính năng PCCC có tải đạt yêu cầu TCVN 6396-72:2010.</t>
        </is>
      </c>
    </row>
    <row r="47" ht="18" customHeight="1">
      <c r="A47" s="5" t="inlineStr">
        <is>
          <t>7. Các ý kiến khác (nếu có):</t>
        </is>
      </c>
    </row>
    <row r="48" ht="18" customHeight="1">
      <c r="A48" s="24" t="inlineStr">
        <is>
          <t>-</t>
        </is>
      </c>
    </row>
    <row r="49" ht="18" customHeight="1">
      <c r="A49" s="4" t="inlineStr">
        <is>
          <t>5. Kết luận:</t>
        </is>
      </c>
    </row>
    <row r="50" ht="18" customHeight="1">
      <c r="A50" s="24" t="inlineStr">
        <is>
          <t>☑  Đồng ý nghiệm thu và cho phép triển khai bước tiếp theo.</t>
        </is>
      </c>
    </row>
    <row r="51" ht="33.75" customHeight="1">
      <c r="A51" s="24" t="inlineStr">
        <is>
          <t>☐  Không đồng ý nghiệm thu (lý do: ….................................................................)</t>
        </is>
      </c>
    </row>
    <row r="52" ht="7.5" customHeight="1"/>
    <row r="53" ht="84.75" customHeight="1">
      <c r="A53" s="23">
        <f>"ĐẠI DIỆN BÊN A
"&amp;UPPER(BenA_Ten)&amp;"
(Ký, ghi rõ họ tên)
…..............................."</f>
        <v/>
      </c>
      <c r="F53" s="23">
        <f>"ĐẠI DIỆN BÊN B
"&amp;UPPER(BenB_Ten)&amp;"
(Ký, ghi rõ họ tên)
…..............................."</f>
        <v/>
      </c>
    </row>
    <row r="54" ht="7.5" customHeight="1"/>
    <row r="55" ht="7.5" customHeight="1"/>
    <row r="56" ht="18" customHeight="1">
      <c r="A56" s="8" t="inlineStr">
        <is>
          <t>PHỤ LỤC</t>
        </is>
      </c>
    </row>
    <row r="57" ht="18" customHeight="1">
      <c r="A57" s="8" t="inlineStr">
        <is>
          <t>BẢNG KIỂM TRA (CHECKLIST) - CHẠY THỬ ĐƠN ĐỘNG CÓ TẢI</t>
        </is>
      </c>
    </row>
    <row r="58" ht="18" customHeight="1">
      <c r="A58" s="27">
        <f>"Kèm theo: "&amp;DanhMuc!$D$10</f>
        <v/>
      </c>
    </row>
    <row r="59" ht="18" customHeight="1">
      <c r="A59" s="5" t="inlineStr">
        <is>
          <t>Thang máy: P3 - Thang máy chở người/PCCC có phòng máy (Schindler)</t>
        </is>
      </c>
    </row>
    <row r="60" ht="18" customHeight="1">
      <c r="A60" s="5" t="inlineStr">
        <is>
          <t>Căn cứ: TCVN 6396-20:2017 (EN 81-20:2014) &amp; TCVN 6396-72:2010 (EN 81-72:2003)</t>
        </is>
      </c>
    </row>
    <row r="61" ht="33.75" customHeight="1">
      <c r="A61" s="15" t="inlineStr">
        <is>
          <t>STT</t>
        </is>
      </c>
      <c r="B61" s="15" t="inlineStr">
        <is>
          <t>Nội dung kiểm tra</t>
        </is>
      </c>
      <c r="C61" s="43" t="n"/>
      <c r="D61" s="42" t="n"/>
      <c r="E61" s="15" t="inlineStr">
        <is>
          <t>Yêu cầu kỹ thuật / Tham chiếu</t>
        </is>
      </c>
      <c r="F61" s="43" t="n"/>
      <c r="G61" s="42" t="n"/>
      <c r="H61" s="15" t="inlineStr">
        <is>
          <t>Kết quả thực tế</t>
        </is>
      </c>
      <c r="I61" s="15" t="inlineStr">
        <is>
          <t>Đánh giá</t>
        </is>
      </c>
      <c r="J61" s="15" t="inlineStr">
        <is>
          <t>Ghi chú</t>
        </is>
      </c>
    </row>
    <row r="62" ht="18" customHeight="1">
      <c r="A62" s="28" t="inlineStr">
        <is>
          <t>A. CHUẨN BỊ THỬ TẢI</t>
        </is>
      </c>
      <c r="B62" s="43" t="n"/>
      <c r="C62" s="43" t="n"/>
      <c r="D62" s="43" t="n"/>
      <c r="E62" s="43" t="n"/>
      <c r="F62" s="43" t="n"/>
      <c r="G62" s="43" t="n"/>
      <c r="H62" s="43" t="n"/>
      <c r="I62" s="43" t="n"/>
      <c r="J62" s="42" t="n"/>
    </row>
    <row r="63" ht="33.75" customHeight="1">
      <c r="A63" s="22" t="inlineStr">
        <is>
          <t>A.1</t>
        </is>
      </c>
      <c r="B63" s="18" t="inlineStr">
        <is>
          <t>Xác nhận hoàn thành thử nghiệm đơn động không tải</t>
        </is>
      </c>
      <c r="C63" s="43" t="n"/>
      <c r="D63" s="42" t="n"/>
      <c r="E63" s="18" t="inlineStr">
        <is>
          <t>BB số 2/TM/BBNCTDDKT/...</t>
        </is>
      </c>
      <c r="F63" s="43" t="n"/>
      <c r="G63" s="42" t="n"/>
      <c r="H63" s="22" t="inlineStr">
        <is>
          <t>Đạt</t>
        </is>
      </c>
      <c r="I63" s="22" t="inlineStr">
        <is>
          <t>☑ Đạt</t>
        </is>
      </c>
      <c r="J63" s="18" t="n"/>
    </row>
    <row r="64" ht="33.75" customHeight="1">
      <c r="A64" s="22" t="inlineStr">
        <is>
          <t>A.2</t>
        </is>
      </c>
      <c r="B64" s="18" t="inlineStr">
        <is>
          <t>Khối lượng tải thử được chuẩn bị, có chứng nhận cân kiểm định</t>
        </is>
      </c>
      <c r="C64" s="43" t="n"/>
      <c r="D64" s="42" t="n"/>
      <c r="E64" s="18" t="inlineStr">
        <is>
          <t>QCVN 02:2019</t>
        </is>
      </c>
      <c r="F64" s="43" t="n"/>
      <c r="G64" s="42" t="n"/>
      <c r="H64" s="22" t="inlineStr">
        <is>
          <t>Đạt</t>
        </is>
      </c>
      <c r="I64" s="22" t="inlineStr">
        <is>
          <t>☑ Đạt</t>
        </is>
      </c>
      <c r="J64" s="18" t="n"/>
    </row>
    <row r="65" ht="33.75" customHeight="1">
      <c r="A65" s="22" t="inlineStr">
        <is>
          <t>A.3</t>
        </is>
      </c>
      <c r="B65" s="18" t="inlineStr">
        <is>
          <t>Tải thử 25%, 50%, 75%, 100%, 110% tải định mức được chuẩn bị đầy đủ</t>
        </is>
      </c>
      <c r="C65" s="43" t="n"/>
      <c r="D65" s="42" t="n"/>
      <c r="E65" s="18" t="inlineStr">
        <is>
          <t>TCVN 6396-20:2017 §8.3</t>
        </is>
      </c>
      <c r="F65" s="43" t="n"/>
      <c r="G65" s="42" t="n"/>
      <c r="H65" s="22" t="inlineStr">
        <is>
          <t>Đạt</t>
        </is>
      </c>
      <c r="I65" s="22" t="inlineStr">
        <is>
          <t>☑ Đạt</t>
        </is>
      </c>
      <c r="J65" s="18" t="n"/>
    </row>
    <row r="66" ht="18" customHeight="1">
      <c r="A66" s="28" t="inlineStr">
        <is>
          <t>B. THỬ TẢI VẬN HÀNH (TCVN 6396-20:2017 §8)</t>
        </is>
      </c>
      <c r="B66" s="43" t="n"/>
      <c r="C66" s="43" t="n"/>
      <c r="D66" s="43" t="n"/>
      <c r="E66" s="43" t="n"/>
      <c r="F66" s="43" t="n"/>
      <c r="G66" s="43" t="n"/>
      <c r="H66" s="43" t="n"/>
      <c r="I66" s="43" t="n"/>
      <c r="J66" s="42" t="n"/>
    </row>
    <row r="67" ht="33.75" customHeight="1">
      <c r="A67" s="22" t="inlineStr">
        <is>
          <t>B.1</t>
        </is>
      </c>
      <c r="B67" s="18" t="inlineStr">
        <is>
          <t>Vận hành với 25% tải: hành trình đầy đủ, dừng tầng đúng</t>
        </is>
      </c>
      <c r="C67" s="43" t="n"/>
      <c r="D67" s="42" t="n"/>
      <c r="E67" s="18" t="inlineStr">
        <is>
          <t>§8.3</t>
        </is>
      </c>
      <c r="F67" s="43" t="n"/>
      <c r="G67" s="42" t="n"/>
      <c r="H67" s="22" t="inlineStr">
        <is>
          <t>Đạt</t>
        </is>
      </c>
      <c r="I67" s="22" t="inlineStr">
        <is>
          <t>☑ Đạt</t>
        </is>
      </c>
      <c r="J67" s="18" t="n"/>
    </row>
    <row r="68" ht="33.75" customHeight="1">
      <c r="A68" s="22" t="inlineStr">
        <is>
          <t>B.2</t>
        </is>
      </c>
      <c r="B68" s="18" t="inlineStr">
        <is>
          <t>Vận hành với 50% tải: hành trình đầy đủ, dừng tầng đúng</t>
        </is>
      </c>
      <c r="C68" s="43" t="n"/>
      <c r="D68" s="42" t="n"/>
      <c r="E68" s="18" t="inlineStr">
        <is>
          <t>§8.3</t>
        </is>
      </c>
      <c r="F68" s="43" t="n"/>
      <c r="G68" s="42" t="n"/>
      <c r="H68" s="22" t="inlineStr">
        <is>
          <t>Đạt</t>
        </is>
      </c>
      <c r="I68" s="22" t="inlineStr">
        <is>
          <t>☑ Đạt</t>
        </is>
      </c>
      <c r="J68" s="18" t="n"/>
    </row>
    <row r="69" ht="33.75" customHeight="1">
      <c r="A69" s="22" t="inlineStr">
        <is>
          <t>B.3</t>
        </is>
      </c>
      <c r="B69" s="18" t="inlineStr">
        <is>
          <t>Vận hành với 75% tải: hành trình đầy đủ, dừng tầng đúng</t>
        </is>
      </c>
      <c r="C69" s="43" t="n"/>
      <c r="D69" s="42" t="n"/>
      <c r="E69" s="18" t="inlineStr">
        <is>
          <t>§8.3</t>
        </is>
      </c>
      <c r="F69" s="43" t="n"/>
      <c r="G69" s="42" t="n"/>
      <c r="H69" s="22" t="inlineStr">
        <is>
          <t>Đạt</t>
        </is>
      </c>
      <c r="I69" s="22" t="inlineStr">
        <is>
          <t>☑ Đạt</t>
        </is>
      </c>
      <c r="J69" s="18" t="n"/>
    </row>
    <row r="70" ht="33.75" customHeight="1">
      <c r="A70" s="22" t="inlineStr">
        <is>
          <t>B.4</t>
        </is>
      </c>
      <c r="B70" s="18" t="inlineStr">
        <is>
          <t>Vận hành với 100% tải: hành trình đầy đủ, dừng tầng đúng</t>
        </is>
      </c>
      <c r="C70" s="43" t="n"/>
      <c r="D70" s="42" t="n"/>
      <c r="E70" s="18" t="inlineStr">
        <is>
          <t>§8.3</t>
        </is>
      </c>
      <c r="F70" s="43" t="n"/>
      <c r="G70" s="42" t="n"/>
      <c r="H70" s="22" t="inlineStr">
        <is>
          <t>Đạt</t>
        </is>
      </c>
      <c r="I70" s="22" t="inlineStr">
        <is>
          <t>☑ Đạt</t>
        </is>
      </c>
      <c r="J70" s="18" t="n"/>
    </row>
    <row r="71" ht="33.75" customHeight="1">
      <c r="A71" s="22" t="inlineStr">
        <is>
          <t>B.5</t>
        </is>
      </c>
      <c r="B71" s="18" t="inlineStr">
        <is>
          <t>Vận hành với 110% tải: kiểm tra quá tải (overload)</t>
        </is>
      </c>
      <c r="C71" s="43" t="n"/>
      <c r="D71" s="42" t="n"/>
      <c r="E71" s="18" t="inlineStr">
        <is>
          <t>§8.3.3</t>
        </is>
      </c>
      <c r="F71" s="43" t="n"/>
      <c r="G71" s="42" t="n"/>
      <c r="H71" s="22" t="inlineStr">
        <is>
          <t>Đạt</t>
        </is>
      </c>
      <c r="I71" s="22" t="inlineStr">
        <is>
          <t>☑ Đạt</t>
        </is>
      </c>
      <c r="J71" s="18" t="n"/>
    </row>
    <row r="72" ht="33.75" customHeight="1">
      <c r="A72" s="22" t="inlineStr">
        <is>
          <t>B.6</t>
        </is>
      </c>
      <c r="B72" s="18" t="inlineStr">
        <is>
          <t>Độ lệch dừng tầng ≤ ±10mm ở tất cả mức tải</t>
        </is>
      </c>
      <c r="C72" s="43" t="n"/>
      <c r="D72" s="42" t="n"/>
      <c r="E72" s="18" t="inlineStr">
        <is>
          <t>§5.7.2</t>
        </is>
      </c>
      <c r="F72" s="43" t="n"/>
      <c r="G72" s="42" t="n"/>
      <c r="H72" s="22" t="inlineStr">
        <is>
          <t>Đạt</t>
        </is>
      </c>
      <c r="I72" s="22" t="inlineStr">
        <is>
          <t>☑ Đạt</t>
        </is>
      </c>
      <c r="J72" s="18" t="n"/>
    </row>
    <row r="73" ht="18" customHeight="1">
      <c r="A73" s="28" t="inlineStr">
        <is>
          <t>C. THỬ NGHIỆM THIẾT BỊ AN TOÀN CÓ TẢI</t>
        </is>
      </c>
      <c r="B73" s="43" t="n"/>
      <c r="C73" s="43" t="n"/>
      <c r="D73" s="43" t="n"/>
      <c r="E73" s="43" t="n"/>
      <c r="F73" s="43" t="n"/>
      <c r="G73" s="43" t="n"/>
      <c r="H73" s="43" t="n"/>
      <c r="I73" s="43" t="n"/>
      <c r="J73" s="42" t="n"/>
    </row>
    <row r="74" ht="49.5" customHeight="1">
      <c r="A74" s="22" t="inlineStr">
        <is>
          <t>C.1</t>
        </is>
      </c>
      <c r="B74" s="18" t="inlineStr">
        <is>
          <t>Thử phanh an toàn (safety gear) với 100% tải ở tốc độ định mức - cabin phải dừng trong 50mm</t>
        </is>
      </c>
      <c r="C74" s="43" t="n"/>
      <c r="D74" s="42" t="n"/>
      <c r="E74" s="18" t="inlineStr">
        <is>
          <t>TCVN 6396-20:2017 §9.8.3</t>
        </is>
      </c>
      <c r="F74" s="43" t="n"/>
      <c r="G74" s="42" t="n"/>
      <c r="H74" s="22" t="inlineStr">
        <is>
          <t>Đạt</t>
        </is>
      </c>
      <c r="I74" s="22" t="inlineStr">
        <is>
          <t>☑ Đạt</t>
        </is>
      </c>
      <c r="J74" s="18" t="n"/>
    </row>
    <row r="75" ht="33.75" customHeight="1">
      <c r="A75" s="22" t="inlineStr">
        <is>
          <t>C.2</t>
        </is>
      </c>
      <c r="B75" s="18" t="inlineStr">
        <is>
          <t>Thử nghiệm bộ giảm chấn cabin (buffer) với 100% tải</t>
        </is>
      </c>
      <c r="C75" s="43" t="n"/>
      <c r="D75" s="42" t="n"/>
      <c r="E75" s="18" t="inlineStr">
        <is>
          <t>§10.4</t>
        </is>
      </c>
      <c r="F75" s="43" t="n"/>
      <c r="G75" s="42" t="n"/>
      <c r="H75" s="22" t="inlineStr">
        <is>
          <t>Đạt</t>
        </is>
      </c>
      <c r="I75" s="22" t="inlineStr">
        <is>
          <t>☑ Đạt</t>
        </is>
      </c>
      <c r="J75" s="18" t="n"/>
    </row>
    <row r="76" ht="33.75" customHeight="1">
      <c r="A76" s="22" t="inlineStr">
        <is>
          <t>C.3</t>
        </is>
      </c>
      <c r="B76" s="18" t="inlineStr">
        <is>
          <t>Thử nghiệm bộ giảm chấn đối trọng với 100% tải</t>
        </is>
      </c>
      <c r="C76" s="43" t="n"/>
      <c r="D76" s="42" t="n"/>
      <c r="E76" s="18" t="inlineStr">
        <is>
          <t>§10.4</t>
        </is>
      </c>
      <c r="F76" s="43" t="n"/>
      <c r="G76" s="42" t="n"/>
      <c r="H76" s="22" t="inlineStr">
        <is>
          <t>Đạt</t>
        </is>
      </c>
      <c r="I76" s="22" t="inlineStr">
        <is>
          <t>☑ Đạt</t>
        </is>
      </c>
      <c r="J76" s="18" t="n"/>
    </row>
    <row r="77" ht="49.5" customHeight="1">
      <c r="A77" s="22" t="inlineStr">
        <is>
          <t>C.4</t>
        </is>
      </c>
      <c r="B77" s="18" t="inlineStr">
        <is>
          <t>Thiết bị bảo vệ quá tải (110%): thang không chạy, báo tín hiệu quá tải</t>
        </is>
      </c>
      <c r="C77" s="43" t="n"/>
      <c r="D77" s="42" t="n"/>
      <c r="E77" s="18" t="inlineStr">
        <is>
          <t>§8.3.3</t>
        </is>
      </c>
      <c r="F77" s="43" t="n"/>
      <c r="G77" s="42" t="n"/>
      <c r="H77" s="22" t="inlineStr">
        <is>
          <t>Đạt</t>
        </is>
      </c>
      <c r="I77" s="22" t="inlineStr">
        <is>
          <t>☑ Đạt</t>
        </is>
      </c>
      <c r="J77" s="18" t="n"/>
    </row>
    <row r="78" ht="33.75" customHeight="1">
      <c r="A78" s="22" t="inlineStr">
        <is>
          <t>C.5</t>
        </is>
      </c>
      <c r="B78" s="18" t="inlineStr">
        <is>
          <t>Phanh điện từ giữ cabin không trượt khi tắt điện đột ngột (100% tải)</t>
        </is>
      </c>
      <c r="C78" s="43" t="n"/>
      <c r="D78" s="42" t="n"/>
      <c r="E78" s="18" t="inlineStr">
        <is>
          <t>§12.4.2</t>
        </is>
      </c>
      <c r="F78" s="43" t="n"/>
      <c r="G78" s="42" t="n"/>
      <c r="H78" s="22" t="inlineStr">
        <is>
          <t>Đạt</t>
        </is>
      </c>
      <c r="I78" s="22" t="inlineStr">
        <is>
          <t>☑ Đạt</t>
        </is>
      </c>
      <c r="J78" s="18" t="n"/>
    </row>
    <row r="79" ht="18" customHeight="1">
      <c r="A79" s="28" t="inlineStr">
        <is>
          <t>D. KIỂM TRA CHẤT LƯỢNG VẬN HÀNH CÓ TẢI</t>
        </is>
      </c>
      <c r="B79" s="43" t="n"/>
      <c r="C79" s="43" t="n"/>
      <c r="D79" s="43" t="n"/>
      <c r="E79" s="43" t="n"/>
      <c r="F79" s="43" t="n"/>
      <c r="G79" s="43" t="n"/>
      <c r="H79" s="43" t="n"/>
      <c r="I79" s="43" t="n"/>
      <c r="J79" s="42" t="n"/>
    </row>
    <row r="80" ht="33.75" customHeight="1">
      <c r="A80" s="22" t="inlineStr">
        <is>
          <t>D.1</t>
        </is>
      </c>
      <c r="B80" s="18" t="inlineStr">
        <is>
          <t>Nhiệt độ máy kéo sau 2 giờ vận hành liên tục có tải ≤ 80°C</t>
        </is>
      </c>
      <c r="C80" s="43" t="n"/>
      <c r="D80" s="42" t="n"/>
      <c r="E80" s="18" t="inlineStr">
        <is>
          <t>§12.1</t>
        </is>
      </c>
      <c r="F80" s="43" t="n"/>
      <c r="G80" s="42" t="n"/>
      <c r="H80" s="22" t="inlineStr">
        <is>
          <t>Đạt</t>
        </is>
      </c>
      <c r="I80" s="22" t="inlineStr">
        <is>
          <t>☑ Đạt</t>
        </is>
      </c>
      <c r="J80" s="18" t="n"/>
    </row>
    <row r="81" ht="33.75" customHeight="1">
      <c r="A81" s="22" t="inlineStr">
        <is>
          <t>D.2</t>
        </is>
      </c>
      <c r="B81" s="18" t="inlineStr">
        <is>
          <t>Tiếng ồn trong cabin ≤ 55 dB(A) khi có tải đầy</t>
        </is>
      </c>
      <c r="C81" s="43" t="n"/>
      <c r="D81" s="42" t="n"/>
      <c r="E81" s="18" t="inlineStr">
        <is>
          <t>EN 81-20 §5.12</t>
        </is>
      </c>
      <c r="F81" s="43" t="n"/>
      <c r="G81" s="42" t="n"/>
      <c r="H81" s="22" t="inlineStr">
        <is>
          <t>Đạt</t>
        </is>
      </c>
      <c r="I81" s="22" t="inlineStr">
        <is>
          <t>☑ Đạt</t>
        </is>
      </c>
      <c r="J81" s="18" t="n"/>
    </row>
    <row r="82" ht="18" customHeight="1">
      <c r="A82" s="22" t="inlineStr">
        <is>
          <t>D.3</t>
        </is>
      </c>
      <c r="B82" s="18" t="inlineStr">
        <is>
          <t>Không có trượt cáp trên puly kéo</t>
        </is>
      </c>
      <c r="C82" s="43" t="n"/>
      <c r="D82" s="42" t="n"/>
      <c r="E82" s="18" t="inlineStr">
        <is>
          <t>§9.3</t>
        </is>
      </c>
      <c r="F82" s="43" t="n"/>
      <c r="G82" s="42" t="n"/>
      <c r="H82" s="22" t="inlineStr">
        <is>
          <t>Đạt</t>
        </is>
      </c>
      <c r="I82" s="22" t="inlineStr">
        <is>
          <t>☑ Đạt</t>
        </is>
      </c>
      <c r="J82" s="18" t="n"/>
    </row>
    <row r="83" ht="33.75" customHeight="1">
      <c r="A83" s="22" t="inlineStr">
        <is>
          <t>D.4</t>
        </is>
      </c>
      <c r="B83" s="18" t="inlineStr">
        <is>
          <t>Độ êm vận hành (gia tốc/giật) trong giới hạn cho phép</t>
        </is>
      </c>
      <c r="C83" s="43" t="n"/>
      <c r="D83" s="42" t="n"/>
      <c r="E83" s="18" t="inlineStr">
        <is>
          <t>§5.12</t>
        </is>
      </c>
      <c r="F83" s="43" t="n"/>
      <c r="G83" s="42" t="n"/>
      <c r="H83" s="22" t="inlineStr">
        <is>
          <t>Đạt</t>
        </is>
      </c>
      <c r="I83" s="22" t="inlineStr">
        <is>
          <t>☑ Đạt</t>
        </is>
      </c>
      <c r="J83" s="18" t="n"/>
    </row>
    <row r="84" ht="18" customHeight="1">
      <c r="A84" s="28" t="inlineStr">
        <is>
          <t>E. THỬ NGHIỆM PCCC CÓ TẢI (TCVN 6396-72:2010)</t>
        </is>
      </c>
      <c r="B84" s="43" t="n"/>
      <c r="C84" s="43" t="n"/>
      <c r="D84" s="43" t="n"/>
      <c r="E84" s="43" t="n"/>
      <c r="F84" s="43" t="n"/>
      <c r="G84" s="43" t="n"/>
      <c r="H84" s="43" t="n"/>
      <c r="I84" s="43" t="n"/>
      <c r="J84" s="42" t="n"/>
    </row>
    <row r="85" ht="33.75" customHeight="1">
      <c r="A85" s="22" t="inlineStr">
        <is>
          <t>E.1</t>
        </is>
      </c>
      <c r="B85" s="18" t="inlineStr">
        <is>
          <t>Kích hoạt PCCC Phase 1 khi đang có tải: thang tự về tầng chỉ định</t>
        </is>
      </c>
      <c r="C85" s="43" t="n"/>
      <c r="D85" s="42" t="n"/>
      <c r="E85" s="18" t="inlineStr">
        <is>
          <t>§5.7.2</t>
        </is>
      </c>
      <c r="F85" s="43" t="n"/>
      <c r="G85" s="42" t="n"/>
      <c r="H85" s="22" t="inlineStr">
        <is>
          <t>Đạt</t>
        </is>
      </c>
      <c r="I85" s="22" t="inlineStr">
        <is>
          <t>☑ Đạt</t>
        </is>
      </c>
      <c r="J85" s="18" t="n"/>
    </row>
    <row r="86" ht="33.75" customHeight="1">
      <c r="A86" s="22" t="inlineStr">
        <is>
          <t>E.2</t>
        </is>
      </c>
      <c r="B86" s="18" t="inlineStr">
        <is>
          <t>Kích hoạt PCCC Phase 2 (100% tải): thang phản hồi lệnh trong cabin</t>
        </is>
      </c>
      <c r="C86" s="43" t="n"/>
      <c r="D86" s="42" t="n"/>
      <c r="E86" s="18" t="inlineStr">
        <is>
          <t>§5.7.3</t>
        </is>
      </c>
      <c r="F86" s="43" t="n"/>
      <c r="G86" s="42" t="n"/>
      <c r="H86" s="22" t="inlineStr">
        <is>
          <t>Đạt</t>
        </is>
      </c>
      <c r="I86" s="22" t="inlineStr">
        <is>
          <t>☑ Đạt</t>
        </is>
      </c>
      <c r="J86" s="18" t="n"/>
    </row>
    <row r="87" ht="33.75" customHeight="1">
      <c r="A87" s="22" t="inlineStr">
        <is>
          <t>E.3</t>
        </is>
      </c>
      <c r="B87" s="18" t="inlineStr">
        <is>
          <t>Cửa cabin mở/đóng theo lệnh thủ công từ bảng Phase 2</t>
        </is>
      </c>
      <c r="C87" s="43" t="n"/>
      <c r="D87" s="42" t="n"/>
      <c r="E87" s="18" t="inlineStr">
        <is>
          <t>§5.7.3</t>
        </is>
      </c>
      <c r="F87" s="43" t="n"/>
      <c r="G87" s="42" t="n"/>
      <c r="H87" s="22" t="inlineStr">
        <is>
          <t>Đạt</t>
        </is>
      </c>
      <c r="I87" s="22" t="inlineStr">
        <is>
          <t>☑ Đạt</t>
        </is>
      </c>
      <c r="J87" s="18" t="n"/>
    </row>
    <row r="88" ht="49.5" customHeight="1">
      <c r="A88" s="22" t="inlineStr">
        <is>
          <t>E.4</t>
        </is>
      </c>
      <c r="B88" s="18" t="inlineStr">
        <is>
          <t>Thử nguồn điện PCCC dự phòng (chuyển từ lưới sang máy phát/UPS): thang tiếp tục vận hành</t>
        </is>
      </c>
      <c r="C88" s="43" t="n"/>
      <c r="D88" s="42" t="n"/>
      <c r="E88" s="18" t="inlineStr">
        <is>
          <t>§5.9.2</t>
        </is>
      </c>
      <c r="F88" s="43" t="n"/>
      <c r="G88" s="42" t="n"/>
      <c r="H88" s="22" t="inlineStr">
        <is>
          <t>Đạt</t>
        </is>
      </c>
      <c r="I88" s="22" t="inlineStr">
        <is>
          <t>☑ Đạt</t>
        </is>
      </c>
      <c r="J88" s="18" t="n"/>
    </row>
    <row r="89" ht="18" customHeight="1">
      <c r="A89" s="28" t="inlineStr">
        <is>
          <t>F. KIỂM TRA KẾT CẤU SAU THỬ TẢI</t>
        </is>
      </c>
      <c r="B89" s="43" t="n"/>
      <c r="C89" s="43" t="n"/>
      <c r="D89" s="43" t="n"/>
      <c r="E89" s="43" t="n"/>
      <c r="F89" s="43" t="n"/>
      <c r="G89" s="43" t="n"/>
      <c r="H89" s="43" t="n"/>
      <c r="I89" s="43" t="n"/>
      <c r="J89" s="42" t="n"/>
    </row>
    <row r="90" ht="33.75" customHeight="1">
      <c r="A90" s="22" t="inlineStr">
        <is>
          <t>F.1</t>
        </is>
      </c>
      <c r="B90" s="18" t="inlineStr">
        <is>
          <t>Không có biến dạng ray dẫn hướng sau thử tải</t>
        </is>
      </c>
      <c r="C90" s="43" t="n"/>
      <c r="D90" s="42" t="n"/>
      <c r="E90" s="18" t="inlineStr">
        <is>
          <t>§10.1</t>
        </is>
      </c>
      <c r="F90" s="43" t="n"/>
      <c r="G90" s="42" t="n"/>
      <c r="H90" s="22" t="inlineStr">
        <is>
          <t>Đạt</t>
        </is>
      </c>
      <c r="I90" s="22" t="inlineStr">
        <is>
          <t>☑ Đạt</t>
        </is>
      </c>
      <c r="J90" s="18" t="n"/>
    </row>
    <row r="91" ht="33.75" customHeight="1">
      <c r="A91" s="22" t="inlineStr">
        <is>
          <t>F.2</t>
        </is>
      </c>
      <c r="B91" s="18" t="inlineStr">
        <is>
          <t>Không có nứt, biến dạng khung cabin, giá đỡ</t>
        </is>
      </c>
      <c r="C91" s="43" t="n"/>
      <c r="D91" s="42" t="n"/>
      <c r="E91" s="18" t="inlineStr">
        <is>
          <t>§8.1</t>
        </is>
      </c>
      <c r="F91" s="43" t="n"/>
      <c r="G91" s="42" t="n"/>
      <c r="H91" s="22" t="inlineStr">
        <is>
          <t>Đạt</t>
        </is>
      </c>
      <c r="I91" s="22" t="inlineStr">
        <is>
          <t>☑ Đạt</t>
        </is>
      </c>
      <c r="J91" s="18" t="n"/>
    </row>
    <row r="92" ht="33.75" customHeight="1">
      <c r="A92" s="22" t="inlineStr">
        <is>
          <t>F.3</t>
        </is>
      </c>
      <c r="B92" s="18" t="inlineStr">
        <is>
          <t>Bu lông liên kết đà thép ngăn hố không bị nới lỏng</t>
        </is>
      </c>
      <c r="C92" s="43" t="n"/>
      <c r="D92" s="42" t="n"/>
      <c r="E92" s="18" t="inlineStr">
        <is>
          <t>TCVN 170:2007</t>
        </is>
      </c>
      <c r="F92" s="43" t="n"/>
      <c r="G92" s="42" t="n"/>
      <c r="H92" s="22" t="inlineStr">
        <is>
          <t>Đạt</t>
        </is>
      </c>
      <c r="I92" s="22" t="inlineStr">
        <is>
          <t>☑ Đạt</t>
        </is>
      </c>
      <c r="J92" s="18" t="n"/>
    </row>
    <row r="93" ht="33.75" customHeight="1">
      <c r="A93" s="22" t="inlineStr">
        <is>
          <t>F.4</t>
        </is>
      </c>
      <c r="B93" s="18" t="inlineStr">
        <is>
          <t>Cáp không bị giãn bất thường, mối nối đầu cáp an toàn</t>
        </is>
      </c>
      <c r="C93" s="43" t="n"/>
      <c r="D93" s="42" t="n"/>
      <c r="E93" s="18" t="inlineStr">
        <is>
          <t>§9.3</t>
        </is>
      </c>
      <c r="F93" s="43" t="n"/>
      <c r="G93" s="42" t="n"/>
      <c r="H93" s="22" t="inlineStr">
        <is>
          <t>Đạt</t>
        </is>
      </c>
      <c r="I93" s="22" t="inlineStr">
        <is>
          <t>☑ Đạt</t>
        </is>
      </c>
      <c r="J93" s="18" t="n"/>
    </row>
    <row r="94" ht="7.5" customHeight="1"/>
    <row r="95" ht="18" customHeight="1">
      <c r="A95" s="3" t="inlineStr">
        <is>
          <t>Ghi chú đánh giá:  ☑ Đạt  |  ☐ Không đạt  |  N/A: Không áp dụng</t>
        </is>
      </c>
    </row>
    <row r="96" ht="18" customHeight="1">
      <c r="A96" s="5" t="inlineStr">
        <is>
          <t>Người kiểm tra (Bên A): ….................................    Ngày: ….............</t>
        </is>
      </c>
    </row>
    <row r="97" ht="18" customHeight="1">
      <c r="A97" s="5" t="inlineStr">
        <is>
          <t>Người kiểm tra (Bên B): ….................................    Ngày: …..............</t>
        </is>
      </c>
    </row>
    <row r="98" ht="7.5" customHeight="1"/>
    <row r="99" ht="64.5" customHeight="1">
      <c r="A99" s="23">
        <f>"ĐẠI DIỆN BÊN A
"&amp;UPPER(BenA_Ten)&amp;"
(Ký, ghi rõ họ tên)
…..............................."</f>
        <v/>
      </c>
      <c r="F99" s="23">
        <f>"ĐẠI DIỆN BÊN B
"&amp;UPPER(BenB_Ten)&amp;"
(Ký, ghi rõ họ tên)
…..............................."</f>
        <v/>
      </c>
    </row>
    <row r="100" ht="7.5" customHeight="1"/>
  </sheetData>
  <mergeCells count="122">
    <mergeCell ref="A23:J23"/>
    <mergeCell ref="A43:J43"/>
    <mergeCell ref="F99:J99"/>
    <mergeCell ref="A34:J34"/>
    <mergeCell ref="B92:D92"/>
    <mergeCell ref="A49:J49"/>
    <mergeCell ref="E81:G81"/>
    <mergeCell ref="B80:D80"/>
    <mergeCell ref="A36:J36"/>
    <mergeCell ref="A6:J6"/>
    <mergeCell ref="A66:J66"/>
    <mergeCell ref="B72:D72"/>
    <mergeCell ref="E83:G83"/>
    <mergeCell ref="A3:J3"/>
    <mergeCell ref="E92:G92"/>
    <mergeCell ref="A12:J12"/>
    <mergeCell ref="B70:D70"/>
    <mergeCell ref="A95:J95"/>
    <mergeCell ref="A5:J5"/>
    <mergeCell ref="A32:J32"/>
    <mergeCell ref="A14:J14"/>
    <mergeCell ref="A97:J97"/>
    <mergeCell ref="E69:G69"/>
    <mergeCell ref="B88:D88"/>
    <mergeCell ref="E78:G78"/>
    <mergeCell ref="A29:J29"/>
    <mergeCell ref="B82:D82"/>
    <mergeCell ref="A96:J96"/>
    <mergeCell ref="A38:J38"/>
    <mergeCell ref="A4:J4"/>
    <mergeCell ref="A13:J13"/>
    <mergeCell ref="E77:G77"/>
    <mergeCell ref="A44:J44"/>
    <mergeCell ref="E86:G86"/>
    <mergeCell ref="E80:G80"/>
    <mergeCell ref="A31:J31"/>
    <mergeCell ref="A58:J58"/>
    <mergeCell ref="A40:J40"/>
    <mergeCell ref="E61:G61"/>
    <mergeCell ref="B74:D74"/>
    <mergeCell ref="E70:G70"/>
    <mergeCell ref="A15:J15"/>
    <mergeCell ref="B68:D68"/>
    <mergeCell ref="B83:D83"/>
    <mergeCell ref="A73:J73"/>
    <mergeCell ref="A24:J24"/>
    <mergeCell ref="A60:J60"/>
    <mergeCell ref="E72:G72"/>
    <mergeCell ref="B76:D76"/>
    <mergeCell ref="B85:D85"/>
    <mergeCell ref="A7:J7"/>
    <mergeCell ref="B75:D75"/>
    <mergeCell ref="A16:J16"/>
    <mergeCell ref="A25:J25"/>
    <mergeCell ref="E71:G71"/>
    <mergeCell ref="A84:J84"/>
    <mergeCell ref="A18:J18"/>
    <mergeCell ref="A50:J50"/>
    <mergeCell ref="E88:G88"/>
    <mergeCell ref="E82:G82"/>
    <mergeCell ref="A2:J2"/>
    <mergeCell ref="A42:J42"/>
    <mergeCell ref="E63:G63"/>
    <mergeCell ref="A47:J47"/>
    <mergeCell ref="A22:J22"/>
    <mergeCell ref="A62:J62"/>
    <mergeCell ref="E65:G65"/>
    <mergeCell ref="E74:G74"/>
    <mergeCell ref="A20:J20"/>
    <mergeCell ref="B78:D78"/>
    <mergeCell ref="B87:D87"/>
    <mergeCell ref="A28:J28"/>
    <mergeCell ref="A30:J30"/>
    <mergeCell ref="A59:J59"/>
    <mergeCell ref="B65:D65"/>
    <mergeCell ref="A51:J51"/>
    <mergeCell ref="A79:J79"/>
    <mergeCell ref="B63:D63"/>
    <mergeCell ref="B91:D91"/>
    <mergeCell ref="A41:J41"/>
    <mergeCell ref="A56:J56"/>
    <mergeCell ref="A27:J27"/>
    <mergeCell ref="B93:D93"/>
    <mergeCell ref="E64:G64"/>
    <mergeCell ref="B77:D77"/>
    <mergeCell ref="B86:D86"/>
    <mergeCell ref="E87:G87"/>
    <mergeCell ref="A33:J33"/>
    <mergeCell ref="F53:J53"/>
    <mergeCell ref="B67:D67"/>
    <mergeCell ref="A8:J8"/>
    <mergeCell ref="B61:D61"/>
    <mergeCell ref="A17:J17"/>
    <mergeCell ref="A35:J35"/>
    <mergeCell ref="E90:G90"/>
    <mergeCell ref="B69:D69"/>
    <mergeCell ref="A10:J10"/>
    <mergeCell ref="A19:J19"/>
    <mergeCell ref="A9:J9"/>
    <mergeCell ref="A39:J39"/>
    <mergeCell ref="A99:E99"/>
    <mergeCell ref="A48:J48"/>
    <mergeCell ref="E76:G76"/>
    <mergeCell ref="E91:G91"/>
    <mergeCell ref="E85:G85"/>
    <mergeCell ref="B64:D64"/>
    <mergeCell ref="A11:J11"/>
    <mergeCell ref="A45:J45"/>
    <mergeCell ref="E75:G75"/>
    <mergeCell ref="E93:G93"/>
    <mergeCell ref="E68:G68"/>
    <mergeCell ref="B81:D81"/>
    <mergeCell ref="A53:E53"/>
    <mergeCell ref="B90:D90"/>
    <mergeCell ref="A46:J46"/>
    <mergeCell ref="A37:J37"/>
    <mergeCell ref="A89:J89"/>
    <mergeCell ref="E67:G67"/>
    <mergeCell ref="B71:D71"/>
    <mergeCell ref="A21:J21"/>
    <mergeCell ref="A57:J57"/>
    <mergeCell ref="A26:J26"/>
  </mergeCells>
  <pageMargins left="0.7" right="0.45" top="0.5" bottom="0.5" header="0.511811023622047" footer="0.511811023622047"/>
  <pageSetup orientation="portrait" paperSize="9" scale="93" fitToHeight="0" horizontalDpi="300" verticalDpi="300"/>
  <rowBreaks count="1" manualBreakCount="1">
    <brk id="55" min="0" max="16383" man="1"/>
  </rowBreaks>
</worksheet>
</file>

<file path=xl/worksheets/sheet9.xml><?xml version="1.0" encoding="utf-8"?>
<worksheet xmlns="http://schemas.openxmlformats.org/spreadsheetml/2006/main">
  <sheetPr>
    <tabColor rgb="FF4472C4"/>
    <outlinePr summaryBelow="1" summaryRight="1"/>
    <pageSetUpPr fitToPage="1"/>
  </sheetPr>
  <dimension ref="A1:J31"/>
  <sheetViews>
    <sheetView view="pageBreakPreview"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"&amp;IF(LEN(DanhMuc!$E$11)=10,"ngày "&amp;LEFT(DanhMuc!$E$11,2)&amp;" tháng "&amp;MID(DanhMuc!$E$11,4,2)&amp;" năm "&amp;RIGHT(DanhMuc!$E$11,4),"ngày …... tháng …... năm 2026")&amp;"."</f>
        <v/>
      </c>
    </row>
    <row r="5" ht="18" customHeight="1">
      <c r="A5" s="8" t="inlineStr">
        <is>
          <t>PHIẾU YÊU CẦU NGHIỆM THU</t>
        </is>
      </c>
    </row>
    <row r="6" ht="18" customHeight="1">
      <c r="A6" s="8">
        <f>UPPER(SUBSTITUTE(DanhMuc!$C$11,"Phiếu yêu cầu nghiệm thu ",""))</f>
        <v/>
      </c>
    </row>
    <row r="7" ht="18" customHeight="1">
      <c r="A7" s="8">
        <f>"SỐ: "&amp;DanhMuc!$D$11</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chạy thử đảm bảo các yêu cầu kỹ thuật và đủ điều kiện nghiệm thu.</t>
        </is>
      </c>
    </row>
    <row r="24" ht="18" customHeight="1">
      <c r="A24" s="4">
        <f>"Đề nghị Bên A (Bên Mua) - "&amp;BenA_Ten&amp;" tổ chức nghiệm thu:"</f>
        <v/>
      </c>
    </row>
    <row r="25" ht="18" customHeight="1">
      <c r="A25" s="5">
        <f>"Thời gian nghiệm thu:      "&amp;IF(DanhMuc!$F$11="","10h00",DanhMuc!$F$11)&amp;" "&amp;IF(LEN(DanhMuc!$H$11)=10,"Ngày "&amp;LEFT(DanhMuc!$H$11,2)&amp;" Tháng "&amp;MID(DanhMuc!$H$11,4,2)&amp;" Năm "&amp;RIGHT(DanhMuc!$H$11,4),"Ngày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chạy thử liên động không tải số "&amp;DanhMuc!$D$12&amp;"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10.xml><?xml version="1.0" encoding="utf-8"?>
<worksheet xmlns="http://schemas.openxmlformats.org/spreadsheetml/2006/main">
  <sheetPr>
    <tabColor rgb="FF70AD47"/>
    <outlinePr summaryBelow="1" summaryRight="1"/>
    <pageSetUpPr fitToPage="1"/>
  </sheetPr>
  <dimension ref="A2:J92"/>
  <sheetViews>
    <sheetView view="pageBreakPreview" topLeftCell="A54" zoomScale="60" zoomScaleNormal="100" workbookViewId="0">
      <selection activeCell="A1" sqref="A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"&amp;IF(LEN(DanhMuc!$E$12)=10,"ngày "&amp;LEFT(DanhMuc!$E$12,2)&amp;" tháng "&amp;MID(DanhMuc!$E$12,4,2)&amp;" năm "&amp;RIGHT(DanhMuc!$E$12,4),"ngày …... tháng …... năm 2026")</f>
        <v/>
      </c>
    </row>
    <row r="6" ht="18" customHeight="1">
      <c r="A6" s="8">
        <f>UPPER(DanhMuc!$C$12)</f>
        <v/>
      </c>
    </row>
    <row r="7" ht="18" customHeight="1">
      <c r="A7" s="8">
        <f>"SỐ: "&amp;DanhMuc!$D$12</f>
        <v/>
      </c>
    </row>
    <row r="8" ht="18" customHeight="1">
      <c r="A8" s="5">
        <f>"Dự án: "&amp;DuAn</f>
        <v/>
      </c>
    </row>
    <row r="9" ht="33.75" customHeight="1">
      <c r="A9" s="5">
        <f>"Gói thầu: "&amp;GoiThau</f>
        <v/>
      </c>
    </row>
    <row r="10" ht="18" customHeight="1">
      <c r="A10" s="5">
        <f>"Hạng mục: "&amp;HangMuc</f>
        <v/>
      </c>
    </row>
    <row r="11" ht="18" customHeight="1">
      <c r="A11" s="5">
        <f>"Địa điểm: "&amp;DiaDiem</f>
        <v/>
      </c>
    </row>
    <row r="12" ht="18" customHeight="1">
      <c r="A12" s="4" t="inlineStr">
        <is>
          <t>1. Đối tượng nghiệm thu:</t>
        </is>
      </c>
    </row>
    <row r="13" ht="49.5" customHeight="1">
      <c r="A13" s="24" t="inlineStr">
        <is>
          <t>Thang máy P3 (thang máy chở người/PCCC có phòng máy, Schindler) - Chạy thử liên động không tải với các hệ thống liên quan của tòa nhà (báo cháy/PCCC, BMS, nguồn điện, liên lạc khẩn cấp).</t>
        </is>
      </c>
    </row>
    <row r="14" ht="18" customHeight="1">
      <c r="A14" s="4" t="inlineStr">
        <is>
          <t>2. Thành phần nghiệm thu:</t>
        </is>
      </c>
    </row>
    <row r="15" ht="33.75" customHeight="1">
      <c r="A15" s="24">
        <f>"- Đại diện Bên A (Bên Mua): "&amp;BenA_Ten</f>
        <v/>
      </c>
    </row>
    <row r="16" ht="33.75" customHeight="1">
      <c r="A16" s="24">
        <f>"  Ông/Bà: "&amp;IF(BenA_NT1="","…......................................",BenA_NT1)&amp;"          Chức vụ: "&amp;IF(BenA_NT1_CV="","…....................",BenA_NT1_CV)</f>
        <v/>
      </c>
    </row>
    <row r="17" ht="33.75" customHeight="1">
      <c r="A17" s="24">
        <f>"  Ông/Bà: "&amp;IF(BenA_NT2="","…......................................",BenA_NT2)&amp;"          Chức vụ: "&amp;IF(BenA_NT2_CV="","…....................",BenA_NT2_CV)</f>
        <v/>
      </c>
    </row>
    <row r="18" ht="33.75" customHeight="1">
      <c r="A18" s="24">
        <f>"- Đại diện Bên B (Bên Bán): "&amp;BenB_Ten</f>
        <v/>
      </c>
    </row>
    <row r="19" ht="18" customHeight="1">
      <c r="A19" s="24">
        <f>"  Ông/Bà: "&amp;IF(BenB_NT1="","…......................................",BenB_NT1)&amp;"          Chức vụ: "&amp;IF(BenB_NT1_CV="","…....................",BenB_NT1_CV)</f>
        <v/>
      </c>
    </row>
    <row r="20" ht="33.75" customHeight="1">
      <c r="A20" s="24">
        <f>"  Ông/Bà: "&amp;IF(BenB_NT2="","…......................................",BenB_NT2)&amp;"          Chức vụ: "&amp;IF(BenB_NT2_CV="","…....................",BenB_NT2_CV)</f>
        <v/>
      </c>
    </row>
    <row r="21" ht="18" customHeight="1">
      <c r="A21" s="4" t="inlineStr">
        <is>
          <t>3. Thời gian và địa điểm nghiệm thu:</t>
        </is>
      </c>
    </row>
    <row r="22" ht="18" customHeight="1">
      <c r="A22" s="24">
        <f>"- Bắt đầu: "&amp;IF(DanhMuc!$F$12="","…....... giờ …....... phút",DanhMuc!$F$12)&amp;", "&amp;IF(LEN(DanhMuc!$H$12)=10,"ngày "&amp;LEFT(DanhMuc!$H$12,2)&amp;" tháng "&amp;MID(DanhMuc!$H$12,4,2)&amp;" năm "&amp;RIGHT(DanhMuc!$H$12,4),"ngày …....... tháng …....... năm 2026")</f>
        <v/>
      </c>
    </row>
    <row r="23" ht="18" customHeight="1">
      <c r="A23" s="24">
        <f>"- Kết thúc: "&amp;IF(DanhMuc!$G$12="","…....... giờ …....... phút",DanhMuc!$G$12)&amp;", "&amp;IF(LEN(DanhMuc!$H$12)=10,"ngày "&amp;LEFT(DanhMuc!$H$12,2)&amp;" tháng "&amp;MID(DanhMuc!$H$12,4,2)&amp;" năm "&amp;RIGHT(DanhMuc!$H$12,4),"ngày …....... tháng …....... năm 2026")</f>
        <v/>
      </c>
    </row>
    <row r="24" ht="33.75" customHeight="1">
      <c r="A24" s="24" t="inlineStr">
        <is>
          <t>- Tại: Công trường Tòa nhà Trung tâm Điều hành, Khu Trung tâm ĐHQG Hà Nội, xã Hòa Lạc, Hà Nội</t>
        </is>
      </c>
    </row>
    <row r="25" ht="18" customHeight="1">
      <c r="A25" s="4" t="inlineStr">
        <is>
          <t>4. Căn cứ nghiệm thu:</t>
        </is>
      </c>
    </row>
    <row r="26" ht="18" customHeight="1">
      <c r="A26" s="25" t="inlineStr">
        <is>
          <t>a) Tài liệu pháp lý và hợp đồng:</t>
        </is>
      </c>
    </row>
    <row r="27" ht="33.75" customHeight="1">
      <c r="A27" s="26">
        <f>"- Hợp đồng mua bán số "&amp;SoHD&amp;" ký ngày "&amp;NgayHD&amp;" giữa "&amp;BenA_Ten&amp;" (Bên A) và "&amp;BenB_Ten&amp;" (Bên B)."</f>
        <v/>
      </c>
    </row>
    <row r="28" ht="18" customHeight="1">
      <c r="A28" s="26">
        <f>"- "&amp;"Phụ lục Hợp đồng số "&amp;SoPL&amp;" ký ngày "&amp;NgayPL&amp;" của Hợp đồng số "&amp;SoHD&amp;"."</f>
        <v/>
      </c>
    </row>
    <row r="29" ht="18" customHeight="1">
      <c r="A29" s="26" t="inlineStr">
        <is>
          <t>- Hồ sơ thiết kế, bản vẽ thi công thang máy được hai Bên phê duyệt.</t>
        </is>
      </c>
    </row>
    <row r="30" ht="18" customHeight="1">
      <c r="A30" s="26" t="inlineStr">
        <is>
          <t>- Biên bản phê duyệt vật liệu/thiết bị số: ….......</t>
        </is>
      </c>
    </row>
    <row r="31" ht="18" customHeight="1">
      <c r="A31" s="26">
        <f>"- Biên bản nghiệm thu vật tư thiết bị số: 1/TM/BBNTVL-TB/"&amp;MaDA&amp;" ngày "&amp;NgayBBVT&amp;"."</f>
        <v/>
      </c>
    </row>
    <row r="32" ht="18" customHeight="1">
      <c r="A32" s="26">
        <f>"- Biên bản nghiệm thu đơn động có tải P3: "&amp;DanhMuc!$D$10</f>
        <v/>
      </c>
    </row>
    <row r="33" ht="18" customHeight="1">
      <c r="A33" s="25" t="inlineStr">
        <is>
          <t>b) Quy chuẩn, tiêu chuẩn áp dụng:</t>
        </is>
      </c>
    </row>
    <row r="34" ht="18" customHeight="1">
      <c r="A34" s="26" t="inlineStr">
        <is>
          <t>- Nghị định 06/2021/NĐ-CP: Quản lý chất lượng và bảo trì công trình xây dựng;</t>
        </is>
      </c>
    </row>
    <row r="35" ht="18" customHeight="1">
      <c r="A35" s="26" t="inlineStr">
        <is>
          <t>- Thông tư 10/2021/TT-BXD hướng dẫn thi hành Nghị định 06/2021/NĐ-CP;</t>
        </is>
      </c>
    </row>
    <row r="36" ht="33.75" customHeight="1">
      <c r="A36" s="26" t="inlineStr">
        <is>
          <t>- QCVN 02:2019/BLĐTBXH: Quy chuẩn kỹ thuật quốc gia về an toàn lao động đối với thang máy;</t>
        </is>
      </c>
    </row>
    <row r="37" ht="33.75" customHeight="1">
      <c r="A37" s="26" t="inlineStr">
        <is>
          <t>- TCVN 6396-20:2017 (EN 81-20:2014): Yêu cầu an toàn về cấu tạo và lắp đặt thang máy chở người;</t>
        </is>
      </c>
    </row>
    <row r="38" ht="18" customHeight="1">
      <c r="A38" s="26" t="inlineStr">
        <is>
          <t>- TCVN 6396-72:2010 (EN 81-72:2003): Thang máy chữa cháy - yêu cầu an toàn;</t>
        </is>
      </c>
    </row>
    <row r="39" ht="18" customHeight="1">
      <c r="A39" s="26" t="inlineStr">
        <is>
          <t>- TCVN 170:2007: Kết cấu thép - Gia công, lắp ráp và nghiệm thu;</t>
        </is>
      </c>
    </row>
    <row r="40" ht="18" customHeight="1">
      <c r="A40" s="26" t="inlineStr">
        <is>
          <t>- Và các tiêu chuẩn liên quan khác.</t>
        </is>
      </c>
    </row>
    <row r="41" ht="18" customHeight="1">
      <c r="A41" s="25" t="inlineStr">
        <is>
          <t>c) Tài liệu kỹ thuật:</t>
        </is>
      </c>
    </row>
    <row r="42" ht="33.75" customHeight="1">
      <c r="A42" s="26" t="inlineStr">
        <is>
          <t>- Nhật ký thi công, nhật ký giám sát và các văn bản liên quan đến đối tượng nghiệm thu.</t>
        </is>
      </c>
    </row>
    <row r="43" ht="18" customHeight="1">
      <c r="A43" s="26" t="inlineStr">
        <is>
          <t>- Catalogue kỹ thuật và chứng chỉ chất lượng của nhà sản xuất Schindler.</t>
        </is>
      </c>
    </row>
    <row r="44" ht="18" customHeight="1">
      <c r="A44" s="4" t="inlineStr">
        <is>
          <t>5. Nội dung chạy thử liên động không tải:</t>
        </is>
      </c>
    </row>
    <row r="45" ht="49.5" customHeight="1">
      <c r="A45" s="24" t="inlineStr">
        <is>
          <t>Vận hành liên động thang P3 không tải với các hệ thống của tòa nhà: kiểm tra tích hợp tín hiệu PCCC/BMS, ổn định hệ thống điện, liên lạc khẩn cấp. Kết quả chi tiết xem Phụ lục Checklist.</t>
        </is>
      </c>
    </row>
    <row r="46" ht="18" customHeight="1">
      <c r="A46" s="4" t="inlineStr">
        <is>
          <t>6. Kết quả chạy thử:</t>
        </is>
      </c>
    </row>
    <row r="47" ht="33.75" customHeight="1">
      <c r="A47" s="24" t="inlineStr">
        <is>
          <t>- Thang P3 vận hành liên động ổn định với các hệ thống của tòa nhà; phản hồi đúng tín hiệu PCCC/BMS.</t>
        </is>
      </c>
    </row>
    <row r="48" ht="18" customHeight="1">
      <c r="A48" s="5" t="inlineStr">
        <is>
          <t>7. Các ý kiến khác (nếu có):</t>
        </is>
      </c>
    </row>
    <row r="49" ht="18" customHeight="1">
      <c r="A49" s="24" t="inlineStr">
        <is>
          <t>-</t>
        </is>
      </c>
    </row>
    <row r="50" ht="18" customHeight="1">
      <c r="A50" s="4" t="inlineStr">
        <is>
          <t>5. Kết luận:</t>
        </is>
      </c>
    </row>
    <row r="51" ht="18" customHeight="1">
      <c r="A51" s="24" t="inlineStr">
        <is>
          <t>☑  Đồng ý nghiệm thu và cho phép triển khai bước tiếp theo.</t>
        </is>
      </c>
    </row>
    <row r="52" ht="33.75" customHeight="1">
      <c r="A52" s="24" t="inlineStr">
        <is>
          <t>☐  Không đồng ý nghiệm thu (lý do: ….................................................................)</t>
        </is>
      </c>
    </row>
    <row r="53" ht="7.5" customHeight="1"/>
    <row r="54" ht="93" customHeight="1">
      <c r="A54" s="23">
        <f>"ĐẠI DIỆN BÊN A
"&amp;UPPER(BenA_Ten)&amp;"
(Ký, ghi rõ họ tên)
…..............................."</f>
        <v/>
      </c>
      <c r="F54" s="23">
        <f>"ĐẠI DIỆN BÊN B
"&amp;UPPER(BenB_Ten)&amp;"
(Ký, ghi rõ họ tên)
…..............................."</f>
        <v/>
      </c>
    </row>
    <row r="55" ht="7.5" customHeight="1"/>
    <row r="56" ht="7.5" customHeight="1"/>
    <row r="57" ht="18" customHeight="1">
      <c r="A57" s="8" t="inlineStr">
        <is>
          <t>PHỤ LỤC</t>
        </is>
      </c>
    </row>
    <row r="58" ht="18" customHeight="1">
      <c r="A58" s="8" t="inlineStr">
        <is>
          <t>BẢNG KIỂM TRA (CHECKLIST) - CHẠY THỬ LIÊN ĐỘNG KHÔNG TẢI</t>
        </is>
      </c>
    </row>
    <row r="59" ht="18" customHeight="1">
      <c r="A59" s="27">
        <f>"Kèm theo: "&amp;DanhMuc!$D$12</f>
        <v/>
      </c>
    </row>
    <row r="60" ht="18" customHeight="1">
      <c r="A60" s="5" t="inlineStr">
        <is>
          <t>Thang máy: P3 - Thang máy chở người/PCCC có phòng máy (Schindler)</t>
        </is>
      </c>
    </row>
    <row r="61" ht="18" customHeight="1">
      <c r="A61" s="5" t="inlineStr">
        <is>
          <t>Căn cứ: TCVN 6396-20:2017 (EN 81-20:2014) &amp; TCVN 6396-72:2010 (EN 81-72:2003)</t>
        </is>
      </c>
    </row>
    <row r="62" ht="33.75" customHeight="1">
      <c r="A62" s="15" t="inlineStr">
        <is>
          <t>STT</t>
        </is>
      </c>
      <c r="B62" s="15" t="inlineStr">
        <is>
          <t>Nội dung kiểm tra</t>
        </is>
      </c>
      <c r="C62" s="43" t="n"/>
      <c r="D62" s="42" t="n"/>
      <c r="E62" s="15" t="inlineStr">
        <is>
          <t>Yêu cầu kỹ thuật / Tham chiếu</t>
        </is>
      </c>
      <c r="F62" s="42" t="n"/>
      <c r="G62" s="15" t="inlineStr">
        <is>
          <t>Kết quả thực tế</t>
        </is>
      </c>
      <c r="H62" s="42" t="n"/>
      <c r="I62" s="15" t="inlineStr">
        <is>
          <t>Đánh giá</t>
        </is>
      </c>
      <c r="J62" s="15" t="inlineStr">
        <is>
          <t>Ghi chú</t>
        </is>
      </c>
    </row>
    <row r="63" ht="18" customHeight="1">
      <c r="A63" s="28" t="inlineStr">
        <is>
          <t>A. KIỂM TRA TRƯỚC LIÊN ĐỘNG</t>
        </is>
      </c>
      <c r="B63" s="43" t="n"/>
      <c r="C63" s="43" t="n"/>
      <c r="D63" s="43" t="n"/>
      <c r="E63" s="43" t="n"/>
      <c r="F63" s="43" t="n"/>
      <c r="G63" s="43" t="n"/>
      <c r="H63" s="43" t="n"/>
      <c r="I63" s="43" t="n"/>
      <c r="J63" s="42" t="n"/>
    </row>
    <row r="64" ht="33.75" customHeight="1">
      <c r="A64" s="22" t="inlineStr">
        <is>
          <t>A.1</t>
        </is>
      </c>
      <c r="B64" s="18" t="inlineStr">
        <is>
          <t>Xác nhận hoàn thành đơn động không tải và có tải thang P3</t>
        </is>
      </c>
      <c r="C64" s="43" t="n"/>
      <c r="D64" s="42" t="n"/>
      <c r="E64" s="18" t="inlineStr">
        <is>
          <t>BB số 2 &amp; 3</t>
        </is>
      </c>
      <c r="F64" s="42" t="n"/>
      <c r="G64" s="22" t="inlineStr">
        <is>
          <t>Đạt</t>
        </is>
      </c>
      <c r="H64" s="42" t="n"/>
      <c r="I64" s="22" t="inlineStr">
        <is>
          <t>☑ Đạt</t>
        </is>
      </c>
      <c r="J64" s="18" t="n"/>
    </row>
    <row r="65" ht="33.75" customHeight="1">
      <c r="A65" s="22" t="inlineStr">
        <is>
          <t>A.2</t>
        </is>
      </c>
      <c r="B65" s="18" t="inlineStr">
        <is>
          <t>Hệ thống điện toàn nhà ổn định, sẵn sàng cung cấp cho thang P3</t>
        </is>
      </c>
      <c r="C65" s="43" t="n"/>
      <c r="D65" s="42" t="n"/>
      <c r="E65" s="18" t="inlineStr">
        <is>
          <t>Kiểm tra điện</t>
        </is>
      </c>
      <c r="F65" s="42" t="n"/>
      <c r="G65" s="22" t="inlineStr">
        <is>
          <t>Đạt</t>
        </is>
      </c>
      <c r="H65" s="42" t="n"/>
      <c r="I65" s="22" t="inlineStr">
        <is>
          <t>☑ Đạt</t>
        </is>
      </c>
      <c r="J65" s="18" t="n"/>
    </row>
    <row r="66" ht="33.75" customHeight="1">
      <c r="A66" s="22" t="inlineStr">
        <is>
          <t>A.3</t>
        </is>
      </c>
      <c r="B66" s="18" t="inlineStr">
        <is>
          <t>Tủ điều khiển thang P3 sẵn sàng vận hành</t>
        </is>
      </c>
      <c r="C66" s="43" t="n"/>
      <c r="D66" s="42" t="n"/>
      <c r="E66" s="18" t="inlineStr">
        <is>
          <t>§13.4</t>
        </is>
      </c>
      <c r="F66" s="42" t="n"/>
      <c r="G66" s="22" t="inlineStr">
        <is>
          <t>Đạt</t>
        </is>
      </c>
      <c r="H66" s="42" t="n"/>
      <c r="I66" s="22" t="inlineStr">
        <is>
          <t>☑ Đạt</t>
        </is>
      </c>
      <c r="J66" s="18" t="n"/>
    </row>
    <row r="67" ht="18" customHeight="1">
      <c r="A67" s="28" t="inlineStr">
        <is>
          <t>B. VẬN HÀNH LIÊN ĐỘNG KHÔNG TẢI (TCVN 6396-20:2017)</t>
        </is>
      </c>
      <c r="B67" s="43" t="n"/>
      <c r="C67" s="43" t="n"/>
      <c r="D67" s="43" t="n"/>
      <c r="E67" s="43" t="n"/>
      <c r="F67" s="43" t="n"/>
      <c r="G67" s="43" t="n"/>
      <c r="H67" s="43" t="n"/>
      <c r="I67" s="43" t="n"/>
      <c r="J67" s="42" t="n"/>
    </row>
    <row r="68" ht="33.75" customHeight="1">
      <c r="A68" s="22" t="inlineStr">
        <is>
          <t>B.1</t>
        </is>
      </c>
      <c r="B68" s="18" t="inlineStr">
        <is>
          <t>Khởi động thang P3 không tải: vận hành ổn định, không nhiễu điện</t>
        </is>
      </c>
      <c r="C68" s="43" t="n"/>
      <c r="D68" s="42" t="n"/>
      <c r="E68" s="18" t="inlineStr">
        <is>
          <t>§13.1</t>
        </is>
      </c>
      <c r="F68" s="42" t="n"/>
      <c r="G68" s="22" t="inlineStr">
        <is>
          <t>Đạt</t>
        </is>
      </c>
      <c r="H68" s="42" t="n"/>
      <c r="I68" s="22" t="inlineStr">
        <is>
          <t>☑ Đạt</t>
        </is>
      </c>
      <c r="J68" s="18" t="n"/>
    </row>
    <row r="69" ht="49.5" customHeight="1">
      <c r="A69" s="22" t="inlineStr">
        <is>
          <t>B.2</t>
        </is>
      </c>
      <c r="B69" s="18" t="inlineStr">
        <is>
          <t>Hệ thống điều khiển tiếp nhận và xử lý các cuộc gọi tầng chính xác, hợp lý</t>
        </is>
      </c>
      <c r="C69" s="43" t="n"/>
      <c r="D69" s="42" t="n"/>
      <c r="E69" s="18" t="inlineStr">
        <is>
          <t>Thiết kế hệ thống</t>
        </is>
      </c>
      <c r="F69" s="42" t="n"/>
      <c r="G69" s="22" t="inlineStr">
        <is>
          <t>Đạt</t>
        </is>
      </c>
      <c r="H69" s="42" t="n"/>
      <c r="I69" s="22" t="inlineStr">
        <is>
          <t>☑ Đạt</t>
        </is>
      </c>
      <c r="J69" s="18" t="n"/>
    </row>
    <row r="70" ht="33.75" customHeight="1">
      <c r="A70" s="22" t="inlineStr">
        <is>
          <t>B.3</t>
        </is>
      </c>
      <c r="B70" s="18" t="inlineStr">
        <is>
          <t>Thang P3 đáp ứng đầy đủ, chính xác lệnh gọi tại tất cả các tầng</t>
        </is>
      </c>
      <c r="C70" s="43" t="n"/>
      <c r="D70" s="42" t="n"/>
      <c r="E70" s="18" t="inlineStr">
        <is>
          <t>Thiết kế điều phối</t>
        </is>
      </c>
      <c r="F70" s="42" t="n"/>
      <c r="G70" s="22" t="inlineStr">
        <is>
          <t>Đạt</t>
        </is>
      </c>
      <c r="H70" s="42" t="n"/>
      <c r="I70" s="22" t="inlineStr">
        <is>
          <t>☑ Đạt</t>
        </is>
      </c>
      <c r="J70" s="18" t="n"/>
    </row>
    <row r="71" ht="49.5" customHeight="1">
      <c r="A71" s="22" t="inlineStr">
        <is>
          <t>B.4</t>
        </is>
      </c>
      <c r="B71" s="18" t="inlineStr">
        <is>
          <t>Không xảy ra xung đột lệnh, lỗi phần mềm điều khiển khi thang vận hành liên tục</t>
        </is>
      </c>
      <c r="C71" s="43" t="n"/>
      <c r="D71" s="42" t="n"/>
      <c r="E71" s="18" t="inlineStr">
        <is>
          <t>Kiểm tra log tủ điều khiển</t>
        </is>
      </c>
      <c r="F71" s="42" t="n"/>
      <c r="G71" s="22" t="inlineStr">
        <is>
          <t>Đạt</t>
        </is>
      </c>
      <c r="H71" s="42" t="n"/>
      <c r="I71" s="22" t="inlineStr">
        <is>
          <t>☑ Đạt</t>
        </is>
      </c>
      <c r="J71" s="18" t="n"/>
    </row>
    <row r="72" ht="33.75" customHeight="1">
      <c r="A72" s="22" t="inlineStr">
        <is>
          <t>B.5</t>
        </is>
      </c>
      <c r="B72" s="18" t="inlineStr">
        <is>
          <t>Thang P3 phản hồi tín hiệu PCCC từ hệ thống BMS/FAS của tòa nhà</t>
        </is>
      </c>
      <c r="C72" s="43" t="n"/>
      <c r="D72" s="42" t="n"/>
      <c r="E72" s="18" t="inlineStr">
        <is>
          <t>TCVN 6396-72:2010 §5.7</t>
        </is>
      </c>
      <c r="F72" s="42" t="n"/>
      <c r="G72" s="22" t="inlineStr">
        <is>
          <t>Đạt</t>
        </is>
      </c>
      <c r="H72" s="42" t="n"/>
      <c r="I72" s="22" t="inlineStr">
        <is>
          <t>☑ Đạt</t>
        </is>
      </c>
      <c r="J72" s="18" t="n"/>
    </row>
    <row r="73" ht="18" customHeight="1">
      <c r="A73" s="28" t="inlineStr">
        <is>
          <t>C. KIỂM TRA ĐIỆN &amp; TẢI HỆ THỐNG</t>
        </is>
      </c>
      <c r="B73" s="43" t="n"/>
      <c r="C73" s="43" t="n"/>
      <c r="D73" s="43" t="n"/>
      <c r="E73" s="43" t="n"/>
      <c r="F73" s="43" t="n"/>
      <c r="G73" s="43" t="n"/>
      <c r="H73" s="43" t="n"/>
      <c r="I73" s="43" t="n"/>
      <c r="J73" s="42" t="n"/>
    </row>
    <row r="74" ht="33.75" customHeight="1">
      <c r="A74" s="22" t="inlineStr">
        <is>
          <t>C.1</t>
        </is>
      </c>
      <c r="B74" s="18" t="inlineStr">
        <is>
          <t>Điện áp nguồn ổn định khi thang P3 vận hành liên tục (±5%)</t>
        </is>
      </c>
      <c r="C74" s="43" t="n"/>
      <c r="D74" s="42" t="n"/>
      <c r="E74" s="18" t="inlineStr">
        <is>
          <t>§13.1.1</t>
        </is>
      </c>
      <c r="F74" s="42" t="n"/>
      <c r="G74" s="22" t="inlineStr">
        <is>
          <t>Đạt</t>
        </is>
      </c>
      <c r="H74" s="42" t="n"/>
      <c r="I74" s="22" t="inlineStr">
        <is>
          <t>☑ Đạt</t>
        </is>
      </c>
      <c r="J74" s="18" t="n"/>
    </row>
    <row r="75" ht="33.75" customHeight="1">
      <c r="A75" s="22" t="inlineStr">
        <is>
          <t>C.2</t>
        </is>
      </c>
      <c r="B75" s="18" t="inlineStr">
        <is>
          <t>Cường độ dòng điện tổng không vượt quá công suất aptomat tổng</t>
        </is>
      </c>
      <c r="C75" s="43" t="n"/>
      <c r="D75" s="42" t="n"/>
      <c r="E75" s="18" t="inlineStr">
        <is>
          <t>§13.1</t>
        </is>
      </c>
      <c r="F75" s="42" t="n"/>
      <c r="G75" s="22" t="inlineStr">
        <is>
          <t>Đạt</t>
        </is>
      </c>
      <c r="H75" s="42" t="n"/>
      <c r="I75" s="22" t="inlineStr">
        <is>
          <t>☑ Đạt</t>
        </is>
      </c>
      <c r="J75" s="18" t="n"/>
    </row>
    <row r="76" ht="33.75" customHeight="1">
      <c r="A76" s="22" t="inlineStr">
        <is>
          <t>C.3</t>
        </is>
      </c>
      <c r="B76" s="18" t="inlineStr">
        <is>
          <t>Không có sụt áp gây lỗi hoặc reset tủ điều khiển</t>
        </is>
      </c>
      <c r="C76" s="43" t="n"/>
      <c r="D76" s="42" t="n"/>
      <c r="E76" s="18" t="inlineStr">
        <is>
          <t>§13.1</t>
        </is>
      </c>
      <c r="F76" s="42" t="n"/>
      <c r="G76" s="22" t="inlineStr">
        <is>
          <t>Đạt</t>
        </is>
      </c>
      <c r="H76" s="42" t="n"/>
      <c r="I76" s="22" t="inlineStr">
        <is>
          <t>☑ Đạt</t>
        </is>
      </c>
      <c r="J76" s="18" t="n"/>
    </row>
    <row r="77" ht="33.75" customHeight="1">
      <c r="A77" s="22" t="inlineStr">
        <is>
          <t>C.4</t>
        </is>
      </c>
      <c r="B77" s="18" t="inlineStr">
        <is>
          <t>Điều hòa phòng máy duy trì nhiệt độ ≤ 40°C khi máy kéo chạy liên tục</t>
        </is>
      </c>
      <c r="C77" s="43" t="n"/>
      <c r="D77" s="42" t="n"/>
      <c r="E77" s="18" t="inlineStr">
        <is>
          <t>§6.4</t>
        </is>
      </c>
      <c r="F77" s="42" t="n"/>
      <c r="G77" s="22" t="inlineStr">
        <is>
          <t>Đạt</t>
        </is>
      </c>
      <c r="H77" s="42" t="n"/>
      <c r="I77" s="22" t="inlineStr">
        <is>
          <t>☑ Đạt</t>
        </is>
      </c>
      <c r="J77" s="18" t="n"/>
    </row>
    <row r="78" ht="18" customHeight="1">
      <c r="A78" s="28" t="inlineStr">
        <is>
          <t>D. KIỂM TRA HỆ THỐNG PCCC LIÊN ĐỘNG (TCVN 6396-72:2010)</t>
        </is>
      </c>
      <c r="B78" s="43" t="n"/>
      <c r="C78" s="43" t="n"/>
      <c r="D78" s="43" t="n"/>
      <c r="E78" s="43" t="n"/>
      <c r="F78" s="43" t="n"/>
      <c r="G78" s="43" t="n"/>
      <c r="H78" s="43" t="n"/>
      <c r="I78" s="43" t="n"/>
      <c r="J78" s="42" t="n"/>
    </row>
    <row r="79" ht="49.5" customHeight="1">
      <c r="A79" s="22" t="inlineStr">
        <is>
          <t>D.1</t>
        </is>
      </c>
      <c r="B79" s="18" t="inlineStr">
        <is>
          <t>Kích hoạt tín hiệu PCCC: thang P3 nhận đúng tín hiệu từ hệ thống báo cháy của tòa nhà</t>
        </is>
      </c>
      <c r="C79" s="43" t="n"/>
      <c r="D79" s="42" t="n"/>
      <c r="E79" s="18" t="inlineStr">
        <is>
          <t>§5.7.2</t>
        </is>
      </c>
      <c r="F79" s="42" t="n"/>
      <c r="G79" s="22" t="inlineStr">
        <is>
          <t>Đạt</t>
        </is>
      </c>
      <c r="H79" s="42" t="n"/>
      <c r="I79" s="22" t="inlineStr">
        <is>
          <t>☑ Đạt</t>
        </is>
      </c>
      <c r="J79" s="18" t="n"/>
    </row>
    <row r="80" ht="49.5" customHeight="1">
      <c r="A80" s="22" t="inlineStr">
        <is>
          <t>D.2</t>
        </is>
      </c>
      <c r="B80" s="18" t="inlineStr">
        <is>
          <t>Kích hoạt tín hiệu PCCC: thang P3 về tầng cứu hỏa chỉ định, chuyển Phase 1</t>
        </is>
      </c>
      <c r="C80" s="43" t="n"/>
      <c r="D80" s="42" t="n"/>
      <c r="E80" s="18" t="inlineStr">
        <is>
          <t>§5.7.2</t>
        </is>
      </c>
      <c r="F80" s="42" t="n"/>
      <c r="G80" s="22" t="inlineStr">
        <is>
          <t>Đạt</t>
        </is>
      </c>
      <c r="H80" s="42" t="n"/>
      <c r="I80" s="22" t="inlineStr">
        <is>
          <t>☑ Đạt</t>
        </is>
      </c>
      <c r="J80" s="18" t="n"/>
    </row>
    <row r="81" ht="49.5" customHeight="1">
      <c r="A81" s="22" t="inlineStr">
        <is>
          <t>D.3</t>
        </is>
      </c>
      <c r="B81" s="18" t="inlineStr">
        <is>
          <t>Sau khi hủy tín hiệu PCCC: thang P3 trở lại chế độ vận hành bình thường tự động</t>
        </is>
      </c>
      <c r="C81" s="43" t="n"/>
      <c r="D81" s="42" t="n"/>
      <c r="E81" s="18" t="inlineStr">
        <is>
          <t>§5.7.4</t>
        </is>
      </c>
      <c r="F81" s="42" t="n"/>
      <c r="G81" s="22" t="inlineStr">
        <is>
          <t>Đạt</t>
        </is>
      </c>
      <c r="H81" s="42" t="n"/>
      <c r="I81" s="22" t="inlineStr">
        <is>
          <t>☑ Đạt</t>
        </is>
      </c>
      <c r="J81" s="18" t="n"/>
    </row>
    <row r="82" ht="49.5" customHeight="1">
      <c r="A82" s="22" t="inlineStr">
        <is>
          <t>D.4</t>
        </is>
      </c>
      <c r="B82" s="18" t="inlineStr">
        <is>
          <t>Liên động liên lạc khẩn cấp (intercom) từ cabin về phòng trực hoạt động đúng</t>
        </is>
      </c>
      <c r="C82" s="43" t="n"/>
      <c r="D82" s="42" t="n"/>
      <c r="E82" s="18" t="inlineStr">
        <is>
          <t>§5.7</t>
        </is>
      </c>
      <c r="F82" s="42" t="n"/>
      <c r="G82" s="22" t="inlineStr">
        <is>
          <t>Đạt</t>
        </is>
      </c>
      <c r="H82" s="42" t="n"/>
      <c r="I82" s="22" t="inlineStr">
        <is>
          <t>☑ Đạt</t>
        </is>
      </c>
      <c r="J82" s="18" t="n"/>
    </row>
    <row r="83" ht="18" customHeight="1">
      <c r="A83" s="28" t="inlineStr">
        <is>
          <t>E. THÔNG TIN &amp; GIÁM SÁT</t>
        </is>
      </c>
      <c r="B83" s="43" t="n"/>
      <c r="C83" s="43" t="n"/>
      <c r="D83" s="43" t="n"/>
      <c r="E83" s="43" t="n"/>
      <c r="F83" s="43" t="n"/>
      <c r="G83" s="43" t="n"/>
      <c r="H83" s="43" t="n"/>
      <c r="I83" s="43" t="n"/>
      <c r="J83" s="42" t="n"/>
    </row>
    <row r="84" ht="33.75" customHeight="1">
      <c r="A84" s="22" t="inlineStr">
        <is>
          <t>E.1</t>
        </is>
      </c>
      <c r="B84" s="18" t="inlineStr">
        <is>
          <t>Màn hình/bảng hiển thị vị trí thang hoạt động đúng</t>
        </is>
      </c>
      <c r="C84" s="43" t="n"/>
      <c r="D84" s="42" t="n"/>
      <c r="E84" s="18" t="inlineStr">
        <is>
          <t>Thiết kế</t>
        </is>
      </c>
      <c r="F84" s="42" t="n"/>
      <c r="G84" s="22" t="inlineStr">
        <is>
          <t>Đạt</t>
        </is>
      </c>
      <c r="H84" s="42" t="n"/>
      <c r="I84" s="22" t="inlineStr">
        <is>
          <t>☑ Đạt</t>
        </is>
      </c>
      <c r="J84" s="18" t="n"/>
    </row>
    <row r="85" ht="33.75" customHeight="1">
      <c r="A85" s="22" t="inlineStr">
        <is>
          <t>E.2</t>
        </is>
      </c>
      <c r="B85" s="18" t="inlineStr">
        <is>
          <t>Hệ thống ghi log sự kiện (event log) của thang ghi đúng</t>
        </is>
      </c>
      <c r="C85" s="43" t="n"/>
      <c r="D85" s="42" t="n"/>
      <c r="E85" s="18" t="inlineStr">
        <is>
          <t>Thiết kế</t>
        </is>
      </c>
      <c r="F85" s="42" t="n"/>
      <c r="G85" s="22" t="inlineStr">
        <is>
          <t>Đạt</t>
        </is>
      </c>
      <c r="H85" s="42" t="n"/>
      <c r="I85" s="22" t="inlineStr">
        <is>
          <t>☑ Đạt</t>
        </is>
      </c>
      <c r="J85" s="18" t="n"/>
    </row>
    <row r="86" ht="33.75" customHeight="1">
      <c r="A86" s="22" t="inlineStr">
        <is>
          <t>E.3</t>
        </is>
      </c>
      <c r="B86" s="18" t="inlineStr">
        <is>
          <t>Không có cảnh báo lỗi (fault) trong quá trình liên động</t>
        </is>
      </c>
      <c r="C86" s="43" t="n"/>
      <c r="D86" s="42" t="n"/>
      <c r="E86" s="18" t="inlineStr">
        <is>
          <t>Kiểm tra tủ điều khiển</t>
        </is>
      </c>
      <c r="F86" s="42" t="n"/>
      <c r="G86" s="22" t="inlineStr">
        <is>
          <t>Đạt</t>
        </is>
      </c>
      <c r="H86" s="42" t="n"/>
      <c r="I86" s="22" t="inlineStr">
        <is>
          <t>☑ Đạt</t>
        </is>
      </c>
      <c r="J86" s="18" t="n"/>
    </row>
    <row r="87" ht="7.5" customHeight="1"/>
    <row r="88" ht="18" customHeight="1">
      <c r="A88" s="3" t="inlineStr">
        <is>
          <t>Ghi chú đánh giá:  ☑ Đạt  |  ☐ Không đạt  |  N/A: Không áp dụng</t>
        </is>
      </c>
    </row>
    <row r="89" ht="18" customHeight="1">
      <c r="A89" s="5" t="inlineStr">
        <is>
          <t>Người kiểm tra (Bên A): ….................................    Ngày: ….............</t>
        </is>
      </c>
    </row>
    <row r="90" ht="18" customHeight="1">
      <c r="A90" s="5" t="inlineStr">
        <is>
          <t>Người kiểm tra (Bên B): ….................................    Ngày: …..............</t>
        </is>
      </c>
    </row>
    <row r="91" ht="7.5" customHeight="1"/>
    <row r="92" ht="64.5" customHeight="1">
      <c r="A92" s="23">
        <f>"ĐẠI DIỆN BÊN A
"&amp;UPPER(BenA_Ten)&amp;"
(Ký, ghi rõ họ tên)
…..............................."</f>
        <v/>
      </c>
      <c r="F92" s="23">
        <f>"ĐẠI DIỆN BÊN B
"&amp;UPPER(BenB_Ten)&amp;"
(Ký, ghi rõ họ tên)
…..............................."</f>
        <v/>
      </c>
    </row>
    <row r="93" ht="7.5" customHeight="1"/>
  </sheetData>
  <mergeCells count="128">
    <mergeCell ref="A23:J23"/>
    <mergeCell ref="G81:H81"/>
    <mergeCell ref="E62:F62"/>
    <mergeCell ref="F54:J54"/>
    <mergeCell ref="E71:F71"/>
    <mergeCell ref="G71:H71"/>
    <mergeCell ref="A43:J43"/>
    <mergeCell ref="A52:J52"/>
    <mergeCell ref="E64:F64"/>
    <mergeCell ref="E79:F79"/>
    <mergeCell ref="A63:J63"/>
    <mergeCell ref="B84:D84"/>
    <mergeCell ref="A83:J83"/>
    <mergeCell ref="A34:J34"/>
    <mergeCell ref="G66:H66"/>
    <mergeCell ref="E65:F65"/>
    <mergeCell ref="A49:J49"/>
    <mergeCell ref="B80:D80"/>
    <mergeCell ref="A36:J36"/>
    <mergeCell ref="G68:H68"/>
    <mergeCell ref="A6:J6"/>
    <mergeCell ref="B62:D62"/>
    <mergeCell ref="B72:D72"/>
    <mergeCell ref="F92:J92"/>
    <mergeCell ref="E85:F85"/>
    <mergeCell ref="G85:H85"/>
    <mergeCell ref="A3:J3"/>
    <mergeCell ref="E75:F75"/>
    <mergeCell ref="A12:J12"/>
    <mergeCell ref="B70:D70"/>
    <mergeCell ref="G84:H84"/>
    <mergeCell ref="G75:H75"/>
    <mergeCell ref="A5:J5"/>
    <mergeCell ref="A32:J32"/>
    <mergeCell ref="G77:H77"/>
    <mergeCell ref="A14:J14"/>
    <mergeCell ref="G86:H86"/>
    <mergeCell ref="A29:J29"/>
    <mergeCell ref="A4:J4"/>
    <mergeCell ref="B82:D82"/>
    <mergeCell ref="A38:J38"/>
    <mergeCell ref="G70:H70"/>
    <mergeCell ref="A13:J13"/>
    <mergeCell ref="A44:J44"/>
    <mergeCell ref="A31:J31"/>
    <mergeCell ref="A58:J58"/>
    <mergeCell ref="A40:J40"/>
    <mergeCell ref="A67:J67"/>
    <mergeCell ref="B74:D74"/>
    <mergeCell ref="A15:J15"/>
    <mergeCell ref="B68:D68"/>
    <mergeCell ref="A73:J73"/>
    <mergeCell ref="G62:H62"/>
    <mergeCell ref="A24:J24"/>
    <mergeCell ref="A60:J60"/>
    <mergeCell ref="B76:D76"/>
    <mergeCell ref="B85:D85"/>
    <mergeCell ref="G65:H65"/>
    <mergeCell ref="A7:J7"/>
    <mergeCell ref="B75:D75"/>
    <mergeCell ref="A16:J16"/>
    <mergeCell ref="A25:J25"/>
    <mergeCell ref="E76:F76"/>
    <mergeCell ref="G76:H76"/>
    <mergeCell ref="A18:J18"/>
    <mergeCell ref="A50:J50"/>
    <mergeCell ref="E66:F66"/>
    <mergeCell ref="A2:J2"/>
    <mergeCell ref="A42:J42"/>
    <mergeCell ref="A47:J47"/>
    <mergeCell ref="E68:F68"/>
    <mergeCell ref="A22:J22"/>
    <mergeCell ref="A20:J20"/>
    <mergeCell ref="A28:J28"/>
    <mergeCell ref="A30:J30"/>
    <mergeCell ref="A59:J59"/>
    <mergeCell ref="E69:F69"/>
    <mergeCell ref="E84:F84"/>
    <mergeCell ref="B65:D65"/>
    <mergeCell ref="G69:H69"/>
    <mergeCell ref="A51:J51"/>
    <mergeCell ref="E77:F77"/>
    <mergeCell ref="A61:J61"/>
    <mergeCell ref="A88:J88"/>
    <mergeCell ref="E86:F86"/>
    <mergeCell ref="E80:F80"/>
    <mergeCell ref="G80:H80"/>
    <mergeCell ref="E70:F70"/>
    <mergeCell ref="G64:H64"/>
    <mergeCell ref="A90:J90"/>
    <mergeCell ref="G79:H79"/>
    <mergeCell ref="A41:J41"/>
    <mergeCell ref="B66:D66"/>
    <mergeCell ref="E72:F72"/>
    <mergeCell ref="A27:J27"/>
    <mergeCell ref="E81:F81"/>
    <mergeCell ref="B77:D77"/>
    <mergeCell ref="B86:D86"/>
    <mergeCell ref="A33:J33"/>
    <mergeCell ref="A8:J8"/>
    <mergeCell ref="A17:J17"/>
    <mergeCell ref="G72:H72"/>
    <mergeCell ref="A35:J35"/>
    <mergeCell ref="B69:D69"/>
    <mergeCell ref="A10:J10"/>
    <mergeCell ref="E82:F82"/>
    <mergeCell ref="A19:J19"/>
    <mergeCell ref="G82:H82"/>
    <mergeCell ref="A54:E54"/>
    <mergeCell ref="A9:J9"/>
    <mergeCell ref="A39:J39"/>
    <mergeCell ref="A48:J48"/>
    <mergeCell ref="E74:F74"/>
    <mergeCell ref="G74:H74"/>
    <mergeCell ref="B64:D64"/>
    <mergeCell ref="A11:J11"/>
    <mergeCell ref="A45:J45"/>
    <mergeCell ref="B79:D79"/>
    <mergeCell ref="A78:J78"/>
    <mergeCell ref="B81:D81"/>
    <mergeCell ref="A46:J46"/>
    <mergeCell ref="A37:J37"/>
    <mergeCell ref="A89:J89"/>
    <mergeCell ref="B71:D71"/>
    <mergeCell ref="A21:J21"/>
    <mergeCell ref="A57:J57"/>
    <mergeCell ref="A26:J26"/>
    <mergeCell ref="A92:E92"/>
  </mergeCells>
  <pageMargins left="0.7" right="0.45" top="0.5" bottom="0.5" header="0.511811023622047" footer="0.511811023622047"/>
  <pageSetup orientation="portrait" paperSize="9" scale="93" fitToHeight="0" horizontalDpi="300" verticalDpi="300"/>
  <rowBreaks count="1" manualBreakCount="1">
    <brk id="56" min="0" max="16383" man="1"/>
  </rowBreaks>
</worksheet>
</file>

<file path=xl/worksheets/sheet11.xml><?xml version="1.0" encoding="utf-8"?>
<worksheet xmlns="http://schemas.openxmlformats.org/spreadsheetml/2006/main">
  <sheetPr>
    <tabColor rgb="FF4472C4"/>
    <outlinePr summaryBelow="1" summaryRight="1"/>
    <pageSetUpPr fitToPage="1"/>
  </sheetPr>
  <dimension ref="A1:J31"/>
  <sheetViews>
    <sheetView view="pageBreakPreview"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"&amp;IF(LEN(DanhMuc!$E$13)=10,"ngày "&amp;LEFT(DanhMuc!$E$13,2)&amp;" tháng "&amp;MID(DanhMuc!$E$13,4,2)&amp;" năm "&amp;RIGHT(DanhMuc!$E$13,4),"ngày …... tháng …... năm 2026")&amp;"."</f>
        <v/>
      </c>
    </row>
    <row r="5" ht="18" customHeight="1">
      <c r="A5" s="8" t="inlineStr">
        <is>
          <t>PHIẾU YÊU CẦU NGHIỆM THU</t>
        </is>
      </c>
    </row>
    <row r="6" ht="18" customHeight="1">
      <c r="A6" s="8">
        <f>UPPER(SUBSTITUTE(DanhMuc!$C$13,"Phiếu yêu cầu nghiệm thu ",""))</f>
        <v/>
      </c>
    </row>
    <row r="7" ht="18" customHeight="1">
      <c r="A7" s="8">
        <f>"SỐ: "&amp;DanhMuc!$D$13</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chạy thử đảm bảo các yêu cầu kỹ thuật và đủ điều kiện nghiệm thu.</t>
        </is>
      </c>
    </row>
    <row r="24" ht="18" customHeight="1">
      <c r="A24" s="4">
        <f>"Đề nghị Bên A (Bên Mua) - "&amp;BenA_Ten&amp;" tổ chức nghiệm thu:"</f>
        <v/>
      </c>
    </row>
    <row r="25" ht="18" customHeight="1">
      <c r="A25" s="5">
        <f>"Thời gian nghiệm thu:      "&amp;IF(DanhMuc!$F$13="","10h00",DanhMuc!$F$13)&amp;" "&amp;IF(LEN(DanhMuc!$H$13)=10,"Ngày "&amp;LEFT(DanhMuc!$H$13,2)&amp;" Tháng "&amp;MID(DanhMuc!$H$13,4,2)&amp;" Năm "&amp;RIGHT(DanhMuc!$H$13,4),"Ngày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chạy thử liên động có tải số "&amp;DanhMuc!$D$14&amp;"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12.xml><?xml version="1.0" encoding="utf-8"?>
<worksheet xmlns="http://schemas.openxmlformats.org/spreadsheetml/2006/main">
  <sheetPr>
    <tabColor rgb="FF70AD47"/>
    <outlinePr summaryBelow="1" summaryRight="1"/>
    <pageSetUpPr fitToPage="1"/>
  </sheetPr>
  <dimension ref="A2:J93"/>
  <sheetViews>
    <sheetView view="pageBreakPreview" zoomScale="60" zoomScaleNormal="100" workbookViewId="0">
      <selection activeCell="A1" sqref="A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"&amp;IF(LEN(DanhMuc!$E$14)=10,"ngày "&amp;LEFT(DanhMuc!$E$14,2)&amp;" tháng "&amp;MID(DanhMuc!$E$14,4,2)&amp;" năm "&amp;RIGHT(DanhMuc!$E$14,4),"ngày …... tháng …... năm 2026")</f>
        <v/>
      </c>
    </row>
    <row r="6" ht="18" customHeight="1">
      <c r="A6" s="8">
        <f>UPPER(DanhMuc!$C$14)</f>
        <v/>
      </c>
    </row>
    <row r="7" ht="18" customHeight="1">
      <c r="A7" s="8">
        <f>"SỐ: "&amp;DanhMuc!$D$14</f>
        <v/>
      </c>
    </row>
    <row r="8" ht="18" customHeight="1">
      <c r="A8" s="5">
        <f>"Dự án: "&amp;DuAn</f>
        <v/>
      </c>
    </row>
    <row r="9" ht="33.75" customHeight="1">
      <c r="A9" s="5">
        <f>"Gói thầu: "&amp;GoiThau</f>
        <v/>
      </c>
    </row>
    <row r="10" ht="18" customHeight="1">
      <c r="A10" s="5">
        <f>"Hạng mục: "&amp;HangMuc</f>
        <v/>
      </c>
    </row>
    <row r="11" ht="18" customHeight="1">
      <c r="A11" s="5">
        <f>"Địa điểm: "&amp;DiaDiem</f>
        <v/>
      </c>
    </row>
    <row r="12" ht="18" customHeight="1">
      <c r="A12" s="4" t="inlineStr">
        <is>
          <t>1. Đối tượng nghiệm thu:</t>
        </is>
      </c>
    </row>
    <row r="13" ht="49.5" customHeight="1">
      <c r="A13" s="24" t="inlineStr">
        <is>
          <t>Thang máy P3 (thang máy chở người/PCCC có phòng máy, Schindler) - Chạy thử liên động có tải với các hệ thống liên quan của tòa nhà (báo cháy/PCCC, nguồn điện dự phòng, BMS).</t>
        </is>
      </c>
    </row>
    <row r="14" ht="18" customHeight="1">
      <c r="A14" s="4" t="inlineStr">
        <is>
          <t>2. Thành phần nghiệm thu:</t>
        </is>
      </c>
    </row>
    <row r="15" ht="33.75" customHeight="1">
      <c r="A15" s="24">
        <f>"- Đại diện Bên A (Bên Mua): "&amp;BenA_Ten</f>
        <v/>
      </c>
    </row>
    <row r="16" ht="18" customHeight="1">
      <c r="A16" s="24">
        <f>"  Ông/Bà: "&amp;IF(BenA_PL="","…......................................",BenA_PL)&amp;"          Chức vụ: "&amp;IF(BenA_PL_CV="","…....................",BenA_PL_CV)</f>
        <v/>
      </c>
    </row>
    <row r="17" ht="33.75" customHeight="1">
      <c r="A17" s="24">
        <f>"- Đại diện Bên B (Bên Bán): "&amp;BenB_Ten</f>
        <v/>
      </c>
    </row>
    <row r="18" ht="18" customHeight="1">
      <c r="A18" s="24">
        <f>"  Ông/Bà: "&amp;IF(BenB_PL="","…......................................",BenB_PL)&amp;"          Chức vụ: "&amp;IF(BenB_PL_CV="","…....................",BenB_PL_CV)</f>
        <v/>
      </c>
    </row>
    <row r="19" ht="18" customHeight="1">
      <c r="A19" s="4" t="inlineStr">
        <is>
          <t>3. Thời gian và địa điểm nghiệm thu:</t>
        </is>
      </c>
    </row>
    <row r="20" ht="18" customHeight="1">
      <c r="A20" s="24">
        <f>"- Bắt đầu: "&amp;IF(DanhMuc!$F$14="","…....... giờ …....... phút",DanhMuc!$F$14)&amp;", "&amp;IF(LEN(DanhMuc!$H$14)=10,"ngày "&amp;LEFT(DanhMuc!$H$14,2)&amp;" tháng "&amp;MID(DanhMuc!$H$14,4,2)&amp;" năm "&amp;RIGHT(DanhMuc!$H$14,4),"ngày …....... tháng …....... năm 2026")</f>
        <v/>
      </c>
    </row>
    <row r="21" ht="18" customHeight="1">
      <c r="A21" s="24">
        <f>"- Kết thúc: "&amp;IF(DanhMuc!$G$14="","…....... giờ …....... phút",DanhMuc!$G$14)&amp;", "&amp;IF(LEN(DanhMuc!$H$14)=10,"ngày "&amp;LEFT(DanhMuc!$H$14,2)&amp;" tháng "&amp;MID(DanhMuc!$H$14,4,2)&amp;" năm "&amp;RIGHT(DanhMuc!$H$14,4),"ngày …....... tháng …....... năm 2026")</f>
        <v/>
      </c>
    </row>
    <row r="22" ht="33.75" customHeight="1">
      <c r="A22" s="24" t="inlineStr">
        <is>
          <t>- Tại: Công trường Tòa nhà Trung tâm Điều hành, Khu Trung tâm ĐHQG Hà Nội, xã Hòa Lạc, Hà Nội</t>
        </is>
      </c>
    </row>
    <row r="23" ht="18" customHeight="1">
      <c r="A23" s="4" t="inlineStr">
        <is>
          <t>4. Căn cứ nghiệm thu:</t>
        </is>
      </c>
    </row>
    <row r="24" ht="18" customHeight="1">
      <c r="A24" s="25" t="inlineStr">
        <is>
          <t>a) Tài liệu pháp lý và hợp đồng:</t>
        </is>
      </c>
    </row>
    <row r="25" ht="33.75" customHeight="1">
      <c r="A25" s="26">
        <f>"- Hợp đồng mua bán số "&amp;SoHD&amp;" ký ngày "&amp;NgayHD&amp;" giữa "&amp;BenA_Ten&amp;" (Bên A) và "&amp;BenB_Ten&amp;" (Bên B)."</f>
        <v/>
      </c>
    </row>
    <row r="26" ht="18" customHeight="1">
      <c r="A26" s="26">
        <f>"- "&amp;"Phụ lục Hợp đồng số "&amp;SoPL&amp;" ký ngày "&amp;NgayPL&amp;" của Hợp đồng số "&amp;SoHD&amp;"."</f>
        <v/>
      </c>
    </row>
    <row r="27" ht="18" customHeight="1">
      <c r="A27" s="26" t="inlineStr">
        <is>
          <t>- Hồ sơ thiết kế, bản vẽ thi công thang máy được hai Bên phê duyệt.</t>
        </is>
      </c>
    </row>
    <row r="28" ht="18" customHeight="1">
      <c r="A28" s="26" t="inlineStr">
        <is>
          <t>- Biên bản phê duyệt vật liệu/thiết bị số: ….......</t>
        </is>
      </c>
    </row>
    <row r="29" ht="18" customHeight="1">
      <c r="A29" s="26">
        <f>"- Biên bản nghiệm thu vật tư thiết bị số: 1/TM/BBNTVL-TB/"&amp;MaDA&amp;" ngày "&amp;NgayBBVT&amp;"."</f>
        <v/>
      </c>
    </row>
    <row r="30" ht="18" customHeight="1">
      <c r="A30" s="26">
        <f>"- Biên bản nghiệm thu liên động không tải: "&amp;DanhMuc!$D$12</f>
        <v/>
      </c>
    </row>
    <row r="31" ht="18" customHeight="1">
      <c r="A31" s="25" t="inlineStr">
        <is>
          <t>b) Quy chuẩn, tiêu chuẩn áp dụng:</t>
        </is>
      </c>
    </row>
    <row r="32" ht="18" customHeight="1">
      <c r="A32" s="26" t="inlineStr">
        <is>
          <t>- Nghị định 06/2021/NĐ-CP: Quản lý chất lượng và bảo trì công trình xây dựng;</t>
        </is>
      </c>
    </row>
    <row r="33" ht="18" customHeight="1">
      <c r="A33" s="26" t="inlineStr">
        <is>
          <t>- Thông tư 10/2021/TT-BXD hướng dẫn thi hành Nghị định 06/2021/NĐ-CP;</t>
        </is>
      </c>
    </row>
    <row r="34" ht="33.75" customHeight="1">
      <c r="A34" s="26" t="inlineStr">
        <is>
          <t>- QCVN 02:2019/BLĐTBXH: Quy chuẩn kỹ thuật quốc gia về an toàn lao động đối với thang máy;</t>
        </is>
      </c>
    </row>
    <row r="35" ht="33.75" customHeight="1">
      <c r="A35" s="26" t="inlineStr">
        <is>
          <t>- TCVN 6396-20:2017 (EN 81-20:2014): Yêu cầu an toàn về cấu tạo và lắp đặt thang máy chở người;</t>
        </is>
      </c>
    </row>
    <row r="36" ht="18" customHeight="1">
      <c r="A36" s="26" t="inlineStr">
        <is>
          <t>- TCVN 6396-72:2010 (EN 81-72:2003): Thang máy chữa cháy - yêu cầu an toàn;</t>
        </is>
      </c>
    </row>
    <row r="37" ht="18" customHeight="1">
      <c r="A37" s="26" t="inlineStr">
        <is>
          <t>- TCVN 170:2007: Kết cấu thép - Gia công, lắp ráp và nghiệm thu;</t>
        </is>
      </c>
    </row>
    <row r="38" ht="18" customHeight="1">
      <c r="A38" s="26" t="inlineStr">
        <is>
          <t>- Và các tiêu chuẩn liên quan khác.</t>
        </is>
      </c>
    </row>
    <row r="39" ht="18" customHeight="1">
      <c r="A39" s="25" t="inlineStr">
        <is>
          <t>c) Tài liệu kỹ thuật:</t>
        </is>
      </c>
    </row>
    <row r="40" ht="33.75" customHeight="1">
      <c r="A40" s="26" t="inlineStr">
        <is>
          <t>- Nhật ký thi công, nhật ký giám sát và các văn bản liên quan đến đối tượng nghiệm thu.</t>
        </is>
      </c>
    </row>
    <row r="41" ht="18" customHeight="1">
      <c r="A41" s="26" t="inlineStr">
        <is>
          <t>- Catalogue kỹ thuật và chứng chỉ chất lượng của nhà sản xuất Schindler.</t>
        </is>
      </c>
    </row>
    <row r="42" ht="18" customHeight="1">
      <c r="A42" s="4" t="inlineStr">
        <is>
          <t>5. Nội dung chạy thử liên động có tải:</t>
        </is>
      </c>
    </row>
    <row r="43" ht="33.75" customHeight="1">
      <c r="A43" s="24" t="inlineStr">
        <is>
          <t>Vận hành liên động thang P3 với 100% tải: kiểm tra tải điện, độ bền nhiệt, thử UPS/máy phát, thử PCCC có tải. Kết quả chi tiết xem Phụ lục Checklist.</t>
        </is>
      </c>
    </row>
    <row r="44" ht="18" customHeight="1">
      <c r="A44" s="4" t="inlineStr">
        <is>
          <t>6. Kết quả chạy thử:</t>
        </is>
      </c>
    </row>
    <row r="45" ht="33.75" customHeight="1">
      <c r="A45" s="24" t="inlineStr">
        <is>
          <t>- Thang P3 vận hành liên động có tải đạt yêu cầu, duy trì tính năng PCCC khi có tải đầy. Nguồn điện dự phòng đáp ứng yêu cầu TCVN 6396-72:2010.</t>
        </is>
      </c>
    </row>
    <row r="46" ht="18" customHeight="1">
      <c r="A46" s="5" t="inlineStr">
        <is>
          <t>7. Các ý kiến khác (nếu có):</t>
        </is>
      </c>
    </row>
    <row r="47" ht="18" customHeight="1">
      <c r="A47" s="24" t="inlineStr">
        <is>
          <t>-</t>
        </is>
      </c>
    </row>
    <row r="48" ht="18" customHeight="1">
      <c r="A48" s="4" t="inlineStr">
        <is>
          <t>5. Kết luận:</t>
        </is>
      </c>
    </row>
    <row r="49" ht="18" customHeight="1">
      <c r="A49" s="24" t="inlineStr">
        <is>
          <t>☑  Đồng ý nghiệm thu và cho phép triển khai bước tiếp theo.</t>
        </is>
      </c>
    </row>
    <row r="50" ht="33.75" customHeight="1">
      <c r="A50" s="24" t="inlineStr">
        <is>
          <t>☐  Không đồng ý nghiệm thu (lý do: ….................................................................)</t>
        </is>
      </c>
    </row>
    <row r="51" ht="81" customHeight="1">
      <c r="A51" s="23">
        <f>"ĐẠI DIỆN BÊN A
"&amp;UPPER(BenA_Ten)&amp;"
(Ký, đóng dấu, ghi rõ họ tên)"</f>
        <v/>
      </c>
      <c r="F51" s="23">
        <f>"ĐẠI DIỆN BÊN B
"&amp;UPPER(BenB_Ten)&amp;"
(Ký, đóng dấu, ghi rõ họ tên)"</f>
        <v/>
      </c>
    </row>
    <row r="52" ht="7.5" customHeight="1"/>
    <row r="53" ht="7.5" customHeight="1"/>
    <row r="54" ht="7.5" customHeight="1"/>
    <row r="55" ht="7.5" customHeight="1"/>
    <row r="56" ht="7.5" customHeight="1"/>
    <row r="57" ht="18" customHeight="1">
      <c r="A57" s="8" t="inlineStr">
        <is>
          <t>PHỤ LỤC</t>
        </is>
      </c>
    </row>
    <row r="58" ht="18" customHeight="1">
      <c r="A58" s="8" t="inlineStr">
        <is>
          <t>BẢNG KIỂM TRA (CHECKLIST) - CHẠY THỬ LIÊN ĐỘNG CÓ TẢI</t>
        </is>
      </c>
    </row>
    <row r="59" ht="18" customHeight="1">
      <c r="A59" s="27">
        <f>"Kèm theo: "&amp;DanhMuc!$D$14</f>
        <v/>
      </c>
    </row>
    <row r="60" ht="18" customHeight="1">
      <c r="A60" s="5" t="inlineStr">
        <is>
          <t>Thang máy: P3 - Thang máy chở người/PCCC có phòng máy (Schindler)</t>
        </is>
      </c>
    </row>
    <row r="61" ht="18" customHeight="1">
      <c r="A61" s="5" t="inlineStr">
        <is>
          <t>Căn cứ: TCVN 6396-20:2017 (EN 81-20:2014) &amp; TCVN 6396-72:2010 (EN 81-72:2003)</t>
        </is>
      </c>
    </row>
    <row r="62" ht="33.75" customHeight="1">
      <c r="A62" s="15" t="inlineStr">
        <is>
          <t>STT</t>
        </is>
      </c>
      <c r="B62" s="15" t="inlineStr">
        <is>
          <t>Nội dung kiểm tra</t>
        </is>
      </c>
      <c r="C62" s="43" t="n"/>
      <c r="D62" s="42" t="n"/>
      <c r="E62" s="15" t="inlineStr">
        <is>
          <t>Yêu cầu kỹ thuật / Tham chiếu</t>
        </is>
      </c>
      <c r="F62" s="43" t="n"/>
      <c r="G62" s="42" t="n"/>
      <c r="H62" s="15" t="inlineStr">
        <is>
          <t>Kết quả thực tế</t>
        </is>
      </c>
      <c r="I62" s="15" t="inlineStr">
        <is>
          <t>Đánh giá</t>
        </is>
      </c>
      <c r="J62" s="15" t="inlineStr">
        <is>
          <t>Ghi chú</t>
        </is>
      </c>
    </row>
    <row r="63" ht="18" customHeight="1">
      <c r="A63" s="28" t="inlineStr">
        <is>
          <t>A. CHUẨN BỊ THỬ LIÊN ĐỘNG CÓ TẢI</t>
        </is>
      </c>
      <c r="B63" s="43" t="n"/>
      <c r="C63" s="43" t="n"/>
      <c r="D63" s="43" t="n"/>
      <c r="E63" s="43" t="n"/>
      <c r="F63" s="43" t="n"/>
      <c r="G63" s="43" t="n"/>
      <c r="H63" s="43" t="n"/>
      <c r="I63" s="43" t="n"/>
      <c r="J63" s="42" t="n"/>
    </row>
    <row r="64" ht="33.75" customHeight="1">
      <c r="A64" s="22" t="inlineStr">
        <is>
          <t>A.1</t>
        </is>
      </c>
      <c r="B64" s="18" t="inlineStr">
        <is>
          <t>Xác nhận hoàn thành liên động không tải</t>
        </is>
      </c>
      <c r="C64" s="43" t="n"/>
      <c r="D64" s="42" t="n"/>
      <c r="E64" s="18" t="inlineStr">
        <is>
          <t>BB số 4/TM/BBNCTLDKT/...</t>
        </is>
      </c>
      <c r="F64" s="43" t="n"/>
      <c r="G64" s="42" t="n"/>
      <c r="H64" s="22" t="inlineStr">
        <is>
          <t>Đạt</t>
        </is>
      </c>
      <c r="I64" s="22" t="inlineStr">
        <is>
          <t>☑ Đạt</t>
        </is>
      </c>
      <c r="J64" s="18" t="n"/>
    </row>
    <row r="65" ht="33.75" customHeight="1">
      <c r="A65" s="22" t="inlineStr">
        <is>
          <t>A.2</t>
        </is>
      </c>
      <c r="B65" s="18" t="inlineStr">
        <is>
          <t>Chuẩn bị tải thử cho thang P3 (100% tải định mức)</t>
        </is>
      </c>
      <c r="C65" s="43" t="n"/>
      <c r="D65" s="42" t="n"/>
      <c r="E65" s="18" t="inlineStr">
        <is>
          <t>TCVN 6396-20:2017 §8.3</t>
        </is>
      </c>
      <c r="F65" s="43" t="n"/>
      <c r="G65" s="42" t="n"/>
      <c r="H65" s="22" t="inlineStr">
        <is>
          <t>Đạt</t>
        </is>
      </c>
      <c r="I65" s="22" t="inlineStr">
        <is>
          <t>☑ Đạt</t>
        </is>
      </c>
      <c r="J65" s="18" t="n"/>
    </row>
    <row r="66" ht="33.75" customHeight="1">
      <c r="A66" s="22" t="inlineStr">
        <is>
          <t>A.3</t>
        </is>
      </c>
      <c r="B66" s="18" t="inlineStr">
        <is>
          <t>Nguồn điện tổng đủ công suất cho thang P3 vận hành có tải</t>
        </is>
      </c>
      <c r="C66" s="43" t="n"/>
      <c r="D66" s="42" t="n"/>
      <c r="E66" s="18" t="inlineStr">
        <is>
          <t>§13.1</t>
        </is>
      </c>
      <c r="F66" s="43" t="n"/>
      <c r="G66" s="42" t="n"/>
      <c r="H66" s="22" t="inlineStr">
        <is>
          <t>Đạt</t>
        </is>
      </c>
      <c r="I66" s="22" t="inlineStr">
        <is>
          <t>☑ Đạt</t>
        </is>
      </c>
      <c r="J66" s="18" t="n"/>
    </row>
    <row r="67" ht="18" customHeight="1">
      <c r="A67" s="28" t="inlineStr">
        <is>
          <t>B. VẬN HÀNH LIÊN ĐỘNG CÓ TẢI (TCVN 6396-20:2017)</t>
        </is>
      </c>
      <c r="B67" s="43" t="n"/>
      <c r="C67" s="43" t="n"/>
      <c r="D67" s="43" t="n"/>
      <c r="E67" s="43" t="n"/>
      <c r="F67" s="43" t="n"/>
      <c r="G67" s="43" t="n"/>
      <c r="H67" s="43" t="n"/>
      <c r="I67" s="43" t="n"/>
      <c r="J67" s="42" t="n"/>
    </row>
    <row r="68" ht="33.75" customHeight="1">
      <c r="A68" s="22" t="inlineStr">
        <is>
          <t>B.1</t>
        </is>
      </c>
      <c r="B68" s="18" t="inlineStr">
        <is>
          <t>Thang P3 vận hành 100% tải: không sụt áp, không lỗi tủ điều khiển</t>
        </is>
      </c>
      <c r="C68" s="43" t="n"/>
      <c r="D68" s="42" t="n"/>
      <c r="E68" s="18" t="inlineStr">
        <is>
          <t>§13.1</t>
        </is>
      </c>
      <c r="F68" s="43" t="n"/>
      <c r="G68" s="42" t="n"/>
      <c r="H68" s="22" t="inlineStr">
        <is>
          <t>Đạt</t>
        </is>
      </c>
      <c r="I68" s="22" t="inlineStr">
        <is>
          <t>☑ Đạt</t>
        </is>
      </c>
      <c r="J68" s="18" t="n"/>
    </row>
    <row r="69" ht="33.75" customHeight="1">
      <c r="A69" s="22" t="inlineStr">
        <is>
          <t>B.2</t>
        </is>
      </c>
      <c r="B69" s="18" t="inlineStr">
        <is>
          <t>Hệ thống điều khiển hoạt động đúng, ổn định khi thang có tải</t>
        </is>
      </c>
      <c r="C69" s="43" t="n"/>
      <c r="D69" s="42" t="n"/>
      <c r="E69" s="18" t="inlineStr">
        <is>
          <t>Thiết kế</t>
        </is>
      </c>
      <c r="F69" s="43" t="n"/>
      <c r="G69" s="42" t="n"/>
      <c r="H69" s="22" t="inlineStr">
        <is>
          <t>Đạt</t>
        </is>
      </c>
      <c r="I69" s="22" t="inlineStr">
        <is>
          <t>☑ Đạt</t>
        </is>
      </c>
      <c r="J69" s="18" t="n"/>
    </row>
    <row r="70" ht="33.75" customHeight="1">
      <c r="A70" s="22" t="inlineStr">
        <is>
          <t>B.3</t>
        </is>
      </c>
      <c r="B70" s="18" t="inlineStr">
        <is>
          <t>Nhiệt độ phòng máy ≤ 40°C sau 2 giờ vận hành liên tục có tải đầy</t>
        </is>
      </c>
      <c r="C70" s="43" t="n"/>
      <c r="D70" s="42" t="n"/>
      <c r="E70" s="18" t="inlineStr">
        <is>
          <t>§6.4</t>
        </is>
      </c>
      <c r="F70" s="43" t="n"/>
      <c r="G70" s="42" t="n"/>
      <c r="H70" s="22" t="inlineStr">
        <is>
          <t>Đạt</t>
        </is>
      </c>
      <c r="I70" s="22" t="inlineStr">
        <is>
          <t>☑ Đạt</t>
        </is>
      </c>
      <c r="J70" s="18" t="n"/>
    </row>
    <row r="71" ht="33.75" customHeight="1">
      <c r="A71" s="22" t="inlineStr">
        <is>
          <t>B.4</t>
        </is>
      </c>
      <c r="B71" s="18" t="inlineStr">
        <is>
          <t>Tiếng ồn, rung động không vượt giới hạn khi thang vận hành có tải</t>
        </is>
      </c>
      <c r="C71" s="43" t="n"/>
      <c r="D71" s="42" t="n"/>
      <c r="E71" s="18" t="inlineStr">
        <is>
          <t>EN 81-20 §5.12</t>
        </is>
      </c>
      <c r="F71" s="43" t="n"/>
      <c r="G71" s="42" t="n"/>
      <c r="H71" s="22" t="inlineStr">
        <is>
          <t>Đạt</t>
        </is>
      </c>
      <c r="I71" s="22" t="inlineStr">
        <is>
          <t>☑ Đạt</t>
        </is>
      </c>
      <c r="J71" s="18" t="n"/>
    </row>
    <row r="72" ht="33.75" customHeight="1">
      <c r="A72" s="22" t="inlineStr">
        <is>
          <t>B.5</t>
        </is>
      </c>
      <c r="B72" s="18" t="inlineStr">
        <is>
          <t>Độ lệch dừng tầng P3 ≤ ±10mm khi vận hành liên động có tải</t>
        </is>
      </c>
      <c r="C72" s="43" t="n"/>
      <c r="D72" s="42" t="n"/>
      <c r="E72" s="18" t="inlineStr">
        <is>
          <t>§5.7.2</t>
        </is>
      </c>
      <c r="F72" s="43" t="n"/>
      <c r="G72" s="42" t="n"/>
      <c r="H72" s="22" t="inlineStr">
        <is>
          <t>Đạt</t>
        </is>
      </c>
      <c r="I72" s="22" t="inlineStr">
        <is>
          <t>☑ Đạt</t>
        </is>
      </c>
      <c r="J72" s="18" t="n"/>
    </row>
    <row r="73" ht="18" customHeight="1">
      <c r="A73" s="28" t="inlineStr">
        <is>
          <t>C. THỬ NGHIỆM THIẾT BỊ AN TOÀN LIÊN ĐỘNG</t>
        </is>
      </c>
      <c r="B73" s="43" t="n"/>
      <c r="C73" s="43" t="n"/>
      <c r="D73" s="43" t="n"/>
      <c r="E73" s="43" t="n"/>
      <c r="F73" s="43" t="n"/>
      <c r="G73" s="43" t="n"/>
      <c r="H73" s="43" t="n"/>
      <c r="I73" s="43" t="n"/>
      <c r="J73" s="42" t="n"/>
    </row>
    <row r="74" ht="33.75" customHeight="1">
      <c r="A74" s="22" t="inlineStr">
        <is>
          <t>C.1</t>
        </is>
      </c>
      <c r="B74" s="18" t="inlineStr">
        <is>
          <t>Mất điện đột ngột (cắt aptomat tổng): phanh thang P3 giữ tải an toàn</t>
        </is>
      </c>
      <c r="C74" s="43" t="n"/>
      <c r="D74" s="42" t="n"/>
      <c r="E74" s="18" t="inlineStr">
        <is>
          <t>§12.4</t>
        </is>
      </c>
      <c r="F74" s="43" t="n"/>
      <c r="G74" s="42" t="n"/>
      <c r="H74" s="22" t="inlineStr">
        <is>
          <t>Đạt</t>
        </is>
      </c>
      <c r="I74" s="22" t="inlineStr">
        <is>
          <t>☑ Đạt</t>
        </is>
      </c>
      <c r="J74" s="18" t="n"/>
    </row>
    <row r="75" ht="33.75" customHeight="1">
      <c r="A75" s="22" t="inlineStr">
        <is>
          <t>C.2</t>
        </is>
      </c>
      <c r="B75" s="18" t="inlineStr">
        <is>
          <t>Phục hồi điện: thang P3 tự khởi động lại theo trình tự an toàn</t>
        </is>
      </c>
      <c r="C75" s="43" t="n"/>
      <c r="D75" s="42" t="n"/>
      <c r="E75" s="18" t="inlineStr">
        <is>
          <t>§13.4</t>
        </is>
      </c>
      <c r="F75" s="43" t="n"/>
      <c r="G75" s="42" t="n"/>
      <c r="H75" s="22" t="inlineStr">
        <is>
          <t>Đạt</t>
        </is>
      </c>
      <c r="I75" s="22" t="inlineStr">
        <is>
          <t>☑ Đạt</t>
        </is>
      </c>
      <c r="J75" s="18" t="n"/>
    </row>
    <row r="76" ht="49.5" customHeight="1">
      <c r="A76" s="22" t="inlineStr">
        <is>
          <t>C.3</t>
        </is>
      </c>
      <c r="B76" s="18" t="inlineStr">
        <is>
          <t>Thử UPS/máy phát PCCC: thang P3 tiếp tục vận hành khi mất điện lưới (chuyển sang nguồn ưu tiên)</t>
        </is>
      </c>
      <c r="C76" s="43" t="n"/>
      <c r="D76" s="42" t="n"/>
      <c r="E76" s="18" t="inlineStr">
        <is>
          <t>TCVN 6396-72:2010 §5.9</t>
        </is>
      </c>
      <c r="F76" s="43" t="n"/>
      <c r="G76" s="42" t="n"/>
      <c r="H76" s="22" t="inlineStr">
        <is>
          <t>Đạt</t>
        </is>
      </c>
      <c r="I76" s="22" t="inlineStr">
        <is>
          <t>☑ Đạt</t>
        </is>
      </c>
      <c r="J76" s="18" t="n"/>
    </row>
    <row r="77" ht="18" customHeight="1">
      <c r="A77" s="28" t="inlineStr">
        <is>
          <t>D. THỬ NGHIỆM PCCC LIÊN ĐỘNG CÓ TẢI (TCVN 6396-72:2010)</t>
        </is>
      </c>
      <c r="B77" s="43" t="n"/>
      <c r="C77" s="43" t="n"/>
      <c r="D77" s="43" t="n"/>
      <c r="E77" s="43" t="n"/>
      <c r="F77" s="43" t="n"/>
      <c r="G77" s="43" t="n"/>
      <c r="H77" s="43" t="n"/>
      <c r="I77" s="43" t="n"/>
      <c r="J77" s="42" t="n"/>
    </row>
    <row r="78" ht="33.75" customHeight="1">
      <c r="A78" s="22" t="inlineStr">
        <is>
          <t>D.1</t>
        </is>
      </c>
      <c r="B78" s="18" t="inlineStr">
        <is>
          <t>Kích hoạt PCCC khi thang đang có tải: P3 về tầng cứu hỏa chỉ định</t>
        </is>
      </c>
      <c r="C78" s="43" t="n"/>
      <c r="D78" s="42" t="n"/>
      <c r="E78" s="18" t="inlineStr">
        <is>
          <t>§5.7.2</t>
        </is>
      </c>
      <c r="F78" s="43" t="n"/>
      <c r="G78" s="42" t="n"/>
      <c r="H78" s="22" t="inlineStr">
        <is>
          <t>Đạt</t>
        </is>
      </c>
      <c r="I78" s="22" t="inlineStr">
        <is>
          <t>☑ Đạt</t>
        </is>
      </c>
      <c r="J78" s="18" t="n"/>
    </row>
    <row r="79" ht="33.75" customHeight="1">
      <c r="A79" s="22" t="inlineStr">
        <is>
          <t>D.2</t>
        </is>
      </c>
      <c r="B79" s="18" t="inlineStr">
        <is>
          <t>P3 thực hiện Phase 2 có tải: mở cửa, giữ cửa theo lệnh thủ công</t>
        </is>
      </c>
      <c r="C79" s="43" t="n"/>
      <c r="D79" s="42" t="n"/>
      <c r="E79" s="18" t="inlineStr">
        <is>
          <t>§5.7.3</t>
        </is>
      </c>
      <c r="F79" s="43" t="n"/>
      <c r="G79" s="42" t="n"/>
      <c r="H79" s="22" t="inlineStr">
        <is>
          <t>Đạt</t>
        </is>
      </c>
      <c r="I79" s="22" t="inlineStr">
        <is>
          <t>☑ Đạt</t>
        </is>
      </c>
      <c r="J79" s="18" t="n"/>
    </row>
    <row r="80" ht="49.5" customHeight="1">
      <c r="A80" s="22" t="inlineStr">
        <is>
          <t>D.3</t>
        </is>
      </c>
      <c r="B80" s="18" t="inlineStr">
        <is>
          <t>Đèn tín hiệu PCCC tại tầng cứu hỏa sáng đúng trong quá trình thử có tải</t>
        </is>
      </c>
      <c r="C80" s="43" t="n"/>
      <c r="D80" s="42" t="n"/>
      <c r="E80" s="18" t="inlineStr">
        <is>
          <t>§5.8</t>
        </is>
      </c>
      <c r="F80" s="43" t="n"/>
      <c r="G80" s="42" t="n"/>
      <c r="H80" s="22" t="inlineStr">
        <is>
          <t>Đạt</t>
        </is>
      </c>
      <c r="I80" s="22" t="inlineStr">
        <is>
          <t>☑ Đạt</t>
        </is>
      </c>
      <c r="J80" s="18" t="n"/>
    </row>
    <row r="81" ht="49.5" customHeight="1">
      <c r="A81" s="22" t="inlineStr">
        <is>
          <t>D.4</t>
        </is>
      </c>
      <c r="B81" s="18" t="inlineStr">
        <is>
          <t>Cáp fire-rated không quá nhiệt trong điều kiện vận hành liên tục có tải</t>
        </is>
      </c>
      <c r="C81" s="43" t="n"/>
      <c r="D81" s="42" t="n"/>
      <c r="E81" s="18" t="inlineStr">
        <is>
          <t>§5.9.3</t>
        </is>
      </c>
      <c r="F81" s="43" t="n"/>
      <c r="G81" s="42" t="n"/>
      <c r="H81" s="22" t="inlineStr">
        <is>
          <t>Đạt</t>
        </is>
      </c>
      <c r="I81" s="22" t="inlineStr">
        <is>
          <t>☑ Đạt</t>
        </is>
      </c>
      <c r="J81" s="18" t="n"/>
    </row>
    <row r="82" ht="18" customHeight="1">
      <c r="A82" s="28" t="inlineStr">
        <is>
          <t>E. KIỂM TRA TỔNG THỂ KẾT THÚC THỬ NGHIỆM</t>
        </is>
      </c>
      <c r="B82" s="43" t="n"/>
      <c r="C82" s="43" t="n"/>
      <c r="D82" s="43" t="n"/>
      <c r="E82" s="43" t="n"/>
      <c r="F82" s="43" t="n"/>
      <c r="G82" s="43" t="n"/>
      <c r="H82" s="43" t="n"/>
      <c r="I82" s="43" t="n"/>
      <c r="J82" s="42" t="n"/>
    </row>
    <row r="83" ht="49.5" customHeight="1">
      <c r="A83" s="22" t="inlineStr">
        <is>
          <t>E.1</t>
        </is>
      </c>
      <c r="B83" s="18" t="inlineStr">
        <is>
          <t>Không có biến dạng kết cấu ray, khung cabin sau toàn bộ quá trình thử</t>
        </is>
      </c>
      <c r="C83" s="43" t="n"/>
      <c r="D83" s="42" t="n"/>
      <c r="E83" s="18" t="inlineStr">
        <is>
          <t>§10.1</t>
        </is>
      </c>
      <c r="F83" s="43" t="n"/>
      <c r="G83" s="42" t="n"/>
      <c r="H83" s="22" t="inlineStr">
        <is>
          <t>Đạt</t>
        </is>
      </c>
      <c r="I83" s="22" t="inlineStr">
        <is>
          <t>☑ Đạt</t>
        </is>
      </c>
      <c r="J83" s="18" t="n"/>
    </row>
    <row r="84" ht="33.75" customHeight="1">
      <c r="A84" s="22" t="inlineStr">
        <is>
          <t>E.2</t>
        </is>
      </c>
      <c r="B84" s="18" t="inlineStr">
        <is>
          <t>Không có hiện tượng nứt mối hàn, bu lông nới lỏng</t>
        </is>
      </c>
      <c r="C84" s="43" t="n"/>
      <c r="D84" s="42" t="n"/>
      <c r="E84" s="18" t="inlineStr">
        <is>
          <t>TCVN 170:2007</t>
        </is>
      </c>
      <c r="F84" s="43" t="n"/>
      <c r="G84" s="42" t="n"/>
      <c r="H84" s="22" t="inlineStr">
        <is>
          <t>Đạt</t>
        </is>
      </c>
      <c r="I84" s="22" t="inlineStr">
        <is>
          <t>☑ Đạt</t>
        </is>
      </c>
      <c r="J84" s="18" t="n"/>
    </row>
    <row r="85" ht="33.75" customHeight="1">
      <c r="A85" s="22" t="inlineStr">
        <is>
          <t>E.3</t>
        </is>
      </c>
      <c r="B85" s="18" t="inlineStr">
        <is>
          <t>Cáp tải không bị giãn bất thường, không đứt sợi</t>
        </is>
      </c>
      <c r="C85" s="43" t="n"/>
      <c r="D85" s="42" t="n"/>
      <c r="E85" s="18" t="inlineStr">
        <is>
          <t>§9.1</t>
        </is>
      </c>
      <c r="F85" s="43" t="n"/>
      <c r="G85" s="42" t="n"/>
      <c r="H85" s="22" t="inlineStr">
        <is>
          <t>Đạt</t>
        </is>
      </c>
      <c r="I85" s="22" t="inlineStr">
        <is>
          <t>☑ Đạt</t>
        </is>
      </c>
      <c r="J85" s="18" t="n"/>
    </row>
    <row r="86" ht="33.75" customHeight="1">
      <c r="A86" s="22" t="inlineStr">
        <is>
          <t>E.4</t>
        </is>
      </c>
      <c r="B86" s="18" t="inlineStr">
        <is>
          <t>Log sự kiện tủ điều khiển không có lỗi nghiêm trọng (fault code)</t>
        </is>
      </c>
      <c r="C86" s="43" t="n"/>
      <c r="D86" s="42" t="n"/>
      <c r="E86" s="18" t="inlineStr">
        <is>
          <t>Kiểm tra tủ điều khiển</t>
        </is>
      </c>
      <c r="F86" s="43" t="n"/>
      <c r="G86" s="42" t="n"/>
      <c r="H86" s="22" t="inlineStr">
        <is>
          <t>Đạt</t>
        </is>
      </c>
      <c r="I86" s="22" t="inlineStr">
        <is>
          <t>☑ Đạt</t>
        </is>
      </c>
      <c r="J86" s="18" t="n"/>
    </row>
    <row r="87" ht="33.75" customHeight="1">
      <c r="A87" s="22" t="inlineStr">
        <is>
          <t>E.5</t>
        </is>
      </c>
      <c r="B87" s="18" t="inlineStr">
        <is>
          <t>Hoàn thiện bề mặt cabin, cửa tầng không bị trầy xước, biến dạng</t>
        </is>
      </c>
      <c r="C87" s="43" t="n"/>
      <c r="D87" s="42" t="n"/>
      <c r="E87" s="18" t="inlineStr">
        <is>
          <t>Kiểm tra trực quan</t>
        </is>
      </c>
      <c r="F87" s="43" t="n"/>
      <c r="G87" s="42" t="n"/>
      <c r="H87" s="22" t="inlineStr">
        <is>
          <t>Đạt</t>
        </is>
      </c>
      <c r="I87" s="22" t="inlineStr">
        <is>
          <t>☑ Đạt</t>
        </is>
      </c>
      <c r="J87" s="18" t="n"/>
    </row>
    <row r="88" ht="7.5" customHeight="1"/>
    <row r="89" ht="18" customHeight="1">
      <c r="A89" s="3" t="inlineStr">
        <is>
          <t>Ghi chú đánh giá:  ☑ Đạt  |  ☐ Không đạt  |  N/A: Không áp dụng</t>
        </is>
      </c>
    </row>
    <row r="90" ht="18" customHeight="1">
      <c r="A90" s="5" t="inlineStr">
        <is>
          <t>Người kiểm tra (Bên A): ….................................    Ngày: ….............</t>
        </is>
      </c>
    </row>
    <row r="91" ht="18" customHeight="1">
      <c r="A91" s="5" t="inlineStr">
        <is>
          <t>Người kiểm tra (Bên B): ….................................    Ngày: …..............</t>
        </is>
      </c>
    </row>
    <row r="92" ht="7.5" customHeight="1"/>
    <row r="93" ht="64.5" customHeight="1">
      <c r="A93" s="23">
        <f>"ĐẠI DIỆN BÊN A
"&amp;UPPER(BenA_Ten)&amp;"
(Ký, ghi rõ họ tên)
…..............................."</f>
        <v/>
      </c>
      <c r="F93" s="23">
        <f>"ĐẠI DIỆN BÊN B
"&amp;UPPER(BenB_Ten)&amp;"
(Ký, ghi rõ họ tên)
…..............................."</f>
        <v/>
      </c>
    </row>
    <row r="94" ht="7.5" customHeight="1"/>
  </sheetData>
  <mergeCells count="108">
    <mergeCell ref="A23:J23"/>
    <mergeCell ref="A91:J91"/>
    <mergeCell ref="A43:J43"/>
    <mergeCell ref="A63:J63"/>
    <mergeCell ref="B84:D84"/>
    <mergeCell ref="A77:J77"/>
    <mergeCell ref="A34:J34"/>
    <mergeCell ref="A49:J49"/>
    <mergeCell ref="E81:G81"/>
    <mergeCell ref="B80:D80"/>
    <mergeCell ref="A36:J36"/>
    <mergeCell ref="A6:J6"/>
    <mergeCell ref="B62:D62"/>
    <mergeCell ref="B72:D72"/>
    <mergeCell ref="E83:G83"/>
    <mergeCell ref="A3:J3"/>
    <mergeCell ref="A12:J12"/>
    <mergeCell ref="B70:D70"/>
    <mergeCell ref="A93:E93"/>
    <mergeCell ref="A5:J5"/>
    <mergeCell ref="A32:J32"/>
    <mergeCell ref="A14:J14"/>
    <mergeCell ref="E69:G69"/>
    <mergeCell ref="E84:G84"/>
    <mergeCell ref="E78:G78"/>
    <mergeCell ref="A29:J29"/>
    <mergeCell ref="A4:J4"/>
    <mergeCell ref="A38:J38"/>
    <mergeCell ref="A13:J13"/>
    <mergeCell ref="A44:J44"/>
    <mergeCell ref="E86:G86"/>
    <mergeCell ref="E80:G80"/>
    <mergeCell ref="A31:J31"/>
    <mergeCell ref="A58:J58"/>
    <mergeCell ref="F51:J51"/>
    <mergeCell ref="A40:J40"/>
    <mergeCell ref="A67:J67"/>
    <mergeCell ref="B74:D74"/>
    <mergeCell ref="E70:G70"/>
    <mergeCell ref="A15:J15"/>
    <mergeCell ref="B68:D68"/>
    <mergeCell ref="B83:D83"/>
    <mergeCell ref="A73:J73"/>
    <mergeCell ref="A24:J24"/>
    <mergeCell ref="A82:J82"/>
    <mergeCell ref="A60:J60"/>
    <mergeCell ref="E72:G72"/>
    <mergeCell ref="B76:D76"/>
    <mergeCell ref="B85:D85"/>
    <mergeCell ref="A7:J7"/>
    <mergeCell ref="B75:D75"/>
    <mergeCell ref="A16:J16"/>
    <mergeCell ref="F93:J93"/>
    <mergeCell ref="A25:J25"/>
    <mergeCell ref="E71:G71"/>
    <mergeCell ref="A18:J18"/>
    <mergeCell ref="E79:G79"/>
    <mergeCell ref="A50:J50"/>
    <mergeCell ref="A2:J2"/>
    <mergeCell ref="A42:J42"/>
    <mergeCell ref="A47:J47"/>
    <mergeCell ref="A22:J22"/>
    <mergeCell ref="E65:G65"/>
    <mergeCell ref="E74:G74"/>
    <mergeCell ref="A20:J20"/>
    <mergeCell ref="B78:D78"/>
    <mergeCell ref="B87:D87"/>
    <mergeCell ref="A28:J28"/>
    <mergeCell ref="A30:J30"/>
    <mergeCell ref="A59:J59"/>
    <mergeCell ref="B65:D65"/>
    <mergeCell ref="A61:J61"/>
    <mergeCell ref="A90:J90"/>
    <mergeCell ref="A41:J41"/>
    <mergeCell ref="E62:G62"/>
    <mergeCell ref="B66:D66"/>
    <mergeCell ref="A27:J27"/>
    <mergeCell ref="E64:G64"/>
    <mergeCell ref="E87:G87"/>
    <mergeCell ref="B86:D86"/>
    <mergeCell ref="A33:J33"/>
    <mergeCell ref="A8:J8"/>
    <mergeCell ref="A17:J17"/>
    <mergeCell ref="A51:E51"/>
    <mergeCell ref="A35:J35"/>
    <mergeCell ref="B69:D69"/>
    <mergeCell ref="A10:J10"/>
    <mergeCell ref="A19:J19"/>
    <mergeCell ref="A9:J9"/>
    <mergeCell ref="A39:J39"/>
    <mergeCell ref="A48:J48"/>
    <mergeCell ref="E76:G76"/>
    <mergeCell ref="E85:G85"/>
    <mergeCell ref="B64:D64"/>
    <mergeCell ref="A11:J11"/>
    <mergeCell ref="A45:J45"/>
    <mergeCell ref="E66:G66"/>
    <mergeCell ref="B79:D79"/>
    <mergeCell ref="E75:G75"/>
    <mergeCell ref="E68:G68"/>
    <mergeCell ref="B81:D81"/>
    <mergeCell ref="A46:J46"/>
    <mergeCell ref="A37:J37"/>
    <mergeCell ref="A89:J89"/>
    <mergeCell ref="B71:D71"/>
    <mergeCell ref="A21:J21"/>
    <mergeCell ref="A57:J57"/>
    <mergeCell ref="A26:J26"/>
  </mergeCells>
  <pageMargins left="0.7" right="0.45" top="0.5" bottom="0.5" header="0.511811023622047" footer="0.511811023622047"/>
  <pageSetup orientation="portrait" paperSize="9" scale="93" fitToHeight="0" horizontalDpi="300" verticalDpi="300"/>
  <rowBreaks count="1" manualBreakCount="1">
    <brk id="57" min="0" max="16383" man="1"/>
  </rowBreaks>
</worksheet>
</file>

<file path=xl/worksheets/sheet13.xml><?xml version="1.0" encoding="utf-8"?>
<worksheet xmlns="http://schemas.openxmlformats.org/spreadsheetml/2006/main">
  <sheetPr>
    <tabColor rgb="FF4472C4"/>
    <outlinePr summaryBelow="1" summaryRight="1"/>
    <pageSetUpPr fitToPage="1"/>
  </sheetPr>
  <dimension ref="A1:J31"/>
  <sheetViews>
    <sheetView view="pageBreakPreview" zoomScale="60" zoomScaleNormal="100" workbookViewId="0">
      <selection activeCell="A1" sqref="A1:J1"/>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18" customHeight="1">
      <c r="A1" s="8" t="inlineStr">
        <is>
          <t>CỘNG HÒA XÃ HỘI CHỦ NGHĨA VIỆT NAM</t>
        </is>
      </c>
    </row>
    <row r="2" ht="18" customHeight="1">
      <c r="A2" s="8" t="inlineStr">
        <is>
          <t>Độc lập - Tự do - Hạnh phúc</t>
        </is>
      </c>
    </row>
    <row r="3" ht="18" customHeight="1">
      <c r="A3" s="7" t="inlineStr">
        <is>
          <t>--------o0o--------</t>
        </is>
      </c>
    </row>
    <row r="4" ht="18" customHeight="1">
      <c r="A4" s="6">
        <f>"Hà Nội, "&amp;IF(LEN(DanhMuc!$E$15)=10,"ngày "&amp;LEFT(DanhMuc!$E$15,2)&amp;" tháng "&amp;MID(DanhMuc!$E$15,4,2)&amp;" năm "&amp;RIGHT(DanhMuc!$E$15,4),"ngày …... tháng …... năm 2026")&amp;"."</f>
        <v/>
      </c>
    </row>
    <row r="5" ht="18" customHeight="1">
      <c r="A5" s="8" t="inlineStr">
        <is>
          <t>PHIẾU YÊU CẦU NGHIỆM THU</t>
        </is>
      </c>
    </row>
    <row r="6" ht="18" customHeight="1">
      <c r="A6" s="8">
        <f>UPPER(SUBSTITUTE(DanhMuc!$C$15,"Phiếu yêu cầu nghiệm thu ",""))</f>
        <v/>
      </c>
    </row>
    <row r="7" ht="18" customHeight="1">
      <c r="A7" s="8">
        <f>"SỐ: "&amp;DanhMuc!$D$15</f>
        <v/>
      </c>
    </row>
    <row r="8" ht="33.75" customHeight="1">
      <c r="A8" s="5">
        <f>"Dự án   : "&amp;DuAn</f>
        <v/>
      </c>
    </row>
    <row r="9" ht="33.75" customHeight="1">
      <c r="A9" s="5">
        <f>"Gói thầu   : "&amp;GoiThau</f>
        <v/>
      </c>
    </row>
    <row r="10" ht="18" customHeight="1">
      <c r="A10" s="5">
        <f>"Hạng mục   : "&amp;HangMuc</f>
        <v/>
      </c>
    </row>
    <row r="11" ht="18" customHeight="1">
      <c r="A11" s="5">
        <f>"Địa điểm   : "&amp;DiaDiem</f>
        <v/>
      </c>
    </row>
    <row r="12" ht="33.75" customHeight="1">
      <c r="A12" s="5">
        <f>"Bên A (Bên Mua)   : "&amp;BenA_Ten&amp;" - "&amp;BenA_DiaChi</f>
        <v/>
      </c>
    </row>
    <row r="13" ht="33.75" customHeight="1">
      <c r="A13" s="5">
        <f>"Bên B (Bên Bán)   : "&amp;BenB_Ten&amp;" - "&amp;BenB_DiaChi</f>
        <v/>
      </c>
    </row>
    <row r="14" ht="18" customHeight="1">
      <c r="A14" s="4" t="inlineStr">
        <is>
          <t>Đối tượng yêu cầu nghiệm thu:</t>
        </is>
      </c>
    </row>
    <row r="15" ht="18" customHeight="1">
      <c r="A15" s="3" t="inlineStr">
        <is>
          <t>Thang máy P3 và các thiết bị, phụ kiện đi kèm</t>
        </is>
      </c>
    </row>
    <row r="16" ht="33.75" customHeight="1">
      <c r="A16" s="5">
        <f>"Hợp đồng mua bán số "&amp;SoHD&amp;" ký ngày "&amp;NgayHD&amp;" và "&amp;"Phụ lục Hợp đồng số "&amp;SoPL&amp;" ký ngày "&amp;NgayPL&amp;"."</f>
        <v/>
      </c>
    </row>
    <row r="17" ht="33.75" customHeight="1">
      <c r="A17" s="5">
        <f>"Biên bản phê duyệt vật liệu, sản phẩm xây dựng/Biên bản phê duyệt thiết bị số: 1/TM/BBNTVL-TB/"&amp;MaDA&amp;" ngày "&amp;NgayBBVT&amp;"."</f>
        <v/>
      </c>
    </row>
    <row r="18" ht="18" customHeight="1">
      <c r="A18" s="5" t="inlineStr">
        <is>
          <t>Khối lượng đề nghị nghiệm thu:</t>
        </is>
      </c>
    </row>
    <row r="19" ht="33.75" customHeight="1">
      <c r="A19" s="15" t="inlineStr">
        <is>
          <t>TT</t>
        </is>
      </c>
      <c r="B19" s="15" t="inlineStr">
        <is>
          <t>Loại vật liệu, sản phẩm</t>
        </is>
      </c>
      <c r="C19" s="42" t="n"/>
      <c r="D19" s="15" t="inlineStr">
        <is>
          <t>Số lượng</t>
        </is>
      </c>
      <c r="E19" s="15" t="inlineStr">
        <is>
          <t>Quy cách</t>
        </is>
      </c>
      <c r="F19" s="15" t="inlineStr">
        <is>
          <t>Chủng loại</t>
        </is>
      </c>
      <c r="G19" s="42" t="n"/>
      <c r="H19" s="15" t="inlineStr">
        <is>
          <t>Giấy xuất xưởng, số lô (CO, CQ)</t>
        </is>
      </c>
      <c r="I19" s="42" t="n"/>
      <c r="J19" s="15" t="inlineStr">
        <is>
          <t>Nhà sản xuất</t>
        </is>
      </c>
    </row>
    <row r="20" ht="49.5" customHeight="1">
      <c r="A20" s="22" t="inlineStr">
        <is>
          <t>1</t>
        </is>
      </c>
      <c r="B20" s="18" t="inlineStr">
        <is>
          <t>Thang máy P3 và các thiết bị, phụ kiện đi kèm</t>
        </is>
      </c>
      <c r="C20" s="42" t="n"/>
      <c r="D20" s="22" t="inlineStr">
        <is>
          <t>1</t>
        </is>
      </c>
      <c r="E20" s="22" t="inlineStr">
        <is>
          <t>Bộ</t>
        </is>
      </c>
      <c r="F20" s="22" t="inlineStr">
        <is>
          <t>Thang máy chở khách, PCCC, có Phòng máy</t>
        </is>
      </c>
      <c r="G20" s="42" t="n"/>
      <c r="H20" s="22">
        <f>COCQ</f>
        <v/>
      </c>
      <c r="I20" s="42" t="n"/>
      <c r="J20" s="22">
        <f>NhaSX</f>
        <v/>
      </c>
    </row>
    <row r="21" ht="18" customHeight="1">
      <c r="A21" s="4" t="inlineStr">
        <is>
          <t>Đại diện Bên B (Bên Bán):</t>
        </is>
      </c>
    </row>
    <row r="22" ht="33.75" customHeight="1">
      <c r="A22" s="5">
        <f>"Ông: "&amp;BenB_PL&amp;"          Chức vụ: "&amp;BenB_PL_CV&amp;"          Chữ ký: ….........................."</f>
        <v/>
      </c>
    </row>
    <row r="23" ht="80.25" customHeight="1">
      <c r="A23" s="5" t="inlineStr">
        <is>
          <t>Sau khi kiểm tra hồ sơ và quy trình lắp đặt, chạy thử; đối chiếu với bản vẽ thiết kế và các tiêu chuẩn được áp dụng; đối chiếu Hợp đồng, hồ sơ thiết kế, chỉ dẫn kỹ thuật và các quy chuẩn, tiêu chuẩn được áp dụng, chúng tôi đã hoàn thành nghiệm thu nội bộ và khẳng định rằng: Chất lượng Công việc thi công, chạy thử đảm bảo các yêu cầu kỹ thuật và đủ điều kiện nghiệm thu Hoàn thành hạng mục, bàn giao đưa vào sử dụng.</t>
        </is>
      </c>
    </row>
    <row r="24" ht="18" customHeight="1">
      <c r="A24" s="4">
        <f>"Đề nghị Bên A (Bên Mua) - "&amp;BenA_Ten&amp;" tổ chức nghiệm thu:"</f>
        <v/>
      </c>
    </row>
    <row r="25" ht="18" customHeight="1">
      <c r="A25" s="5">
        <f>"Thời gian nghiệm thu:      "&amp;IF(DanhMuc!$F$15="","10h00",DanhMuc!$F$15)&amp;" "&amp;IF(LEN(DanhMuc!$H$15)=10,"Ngày "&amp;LEFT(DanhMuc!$H$15,2)&amp;" Tháng "&amp;MID(DanhMuc!$H$15,4,2)&amp;" Năm "&amp;RIGHT(DanhMuc!$H$15,4),"Ngày …. Tháng …... Năm ….....")</f>
        <v/>
      </c>
    </row>
    <row r="26" ht="18" customHeight="1">
      <c r="A26" s="5" t="inlineStr">
        <is>
          <t>Tài liệu kèm theo:</t>
        </is>
      </c>
    </row>
    <row r="27" ht="18" customHeight="1">
      <c r="A27" s="5" t="inlineStr">
        <is>
          <t>- Biên bản giao hàng;</t>
        </is>
      </c>
    </row>
    <row r="28" ht="18" customHeight="1">
      <c r="A28" s="5" t="inlineStr">
        <is>
          <t>- Chứng chỉ chất lượng sản phẩm;</t>
        </is>
      </c>
    </row>
    <row r="29" ht="18" customHeight="1">
      <c r="A29" s="5" t="inlineStr">
        <is>
          <t>- Kết quả thí nghiệm vật liệu;</t>
        </is>
      </c>
    </row>
    <row r="30" ht="33.75" customHeight="1">
      <c r="A30" s="5">
        <f>"- Dự thảo Biên bản nghiệm thu hoàn thành hạng mục đưa vào sử dụng số "&amp;DanhMuc!$D$16&amp;" kèm Bảng kiểm tra (Checklist)."</f>
        <v/>
      </c>
    </row>
    <row r="31" ht="49.5" customHeight="1">
      <c r="A31" s="23">
        <f>"ĐẠI DIỆN BÊN A
("&amp;UPPER(BenA_Ten)&amp;")"</f>
        <v/>
      </c>
      <c r="D31" s="7" t="inlineStr">
        <is>
          <t>Đã nhận Phiếu yêu cầu lúc
10h20 Ngày …. Tháng …... Năm ….....</t>
        </is>
      </c>
      <c r="H31" s="7" t="inlineStr">
        <is>
          <t>Người nhận</t>
        </is>
      </c>
    </row>
  </sheetData>
  <mergeCells count="37">
    <mergeCell ref="A5:J5"/>
    <mergeCell ref="A23:J23"/>
    <mergeCell ref="A8:J8"/>
    <mergeCell ref="A14:J14"/>
    <mergeCell ref="H20:I20"/>
    <mergeCell ref="A22:J22"/>
    <mergeCell ref="A17:J17"/>
    <mergeCell ref="F19:G19"/>
    <mergeCell ref="A29:J29"/>
    <mergeCell ref="A4:J4"/>
    <mergeCell ref="A10:J10"/>
    <mergeCell ref="A28:J28"/>
    <mergeCell ref="A13:J13"/>
    <mergeCell ref="A9:J9"/>
    <mergeCell ref="F20:G20"/>
    <mergeCell ref="A30:J30"/>
    <mergeCell ref="A15:J15"/>
    <mergeCell ref="A24:J24"/>
    <mergeCell ref="A11:J11"/>
    <mergeCell ref="A1:J1"/>
    <mergeCell ref="D31:G31"/>
    <mergeCell ref="A6:J6"/>
    <mergeCell ref="B19:C19"/>
    <mergeCell ref="A31:C31"/>
    <mergeCell ref="H19:I19"/>
    <mergeCell ref="A7:J7"/>
    <mergeCell ref="A16:J16"/>
    <mergeCell ref="A25:J25"/>
    <mergeCell ref="A18:J18"/>
    <mergeCell ref="A27:J27"/>
    <mergeCell ref="B20:C20"/>
    <mergeCell ref="A3:J3"/>
    <mergeCell ref="A21:J21"/>
    <mergeCell ref="H31:J31"/>
    <mergeCell ref="A12:J12"/>
    <mergeCell ref="A26:J26"/>
    <mergeCell ref="A2:J2"/>
  </mergeCells>
  <pageMargins left="0.7" right="0.45" top="0.5" bottom="0.5" header="0.511811023622047" footer="0.511811023622047"/>
  <pageSetup orientation="portrait" paperSize="9" scale="93" horizontalDpi="300" verticalDpi="300"/>
</worksheet>
</file>

<file path=xl/worksheets/sheet14.xml><?xml version="1.0" encoding="utf-8"?>
<worksheet xmlns="http://schemas.openxmlformats.org/spreadsheetml/2006/main">
  <sheetPr>
    <tabColor rgb="FF70AD47"/>
    <outlinePr summaryBelow="1" summaryRight="1"/>
    <pageSetUpPr fitToPage="1"/>
  </sheetPr>
  <dimension ref="A2:J105"/>
  <sheetViews>
    <sheetView view="pageBreakPreview" zoomScale="60" zoomScaleNormal="100" workbookViewId="0">
      <selection activeCell="A28" sqref="A28:J28"/>
    </sheetView>
  </sheetViews>
  <sheetFormatPr baseColWidth="8" defaultColWidth="8.7109375" defaultRowHeight="15"/>
  <cols>
    <col width="4.42578125" customWidth="1" min="1" max="1"/>
    <col width="13" customWidth="1" min="2" max="2"/>
    <col width="12" customWidth="1" min="3" max="3"/>
    <col width="11"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18" customHeight="1">
      <c r="A5" s="6">
        <f>"Hà Nội, "&amp;IF(LEN(DanhMuc!$E$16)=10,"ngày "&amp;LEFT(DanhMuc!$E$16,2)&amp;" tháng "&amp;MID(DanhMuc!$E$16,4,2)&amp;" năm "&amp;RIGHT(DanhMuc!$E$16,4),"ngày …... tháng …... năm 2026")</f>
        <v/>
      </c>
    </row>
    <row r="6" ht="18" customHeight="1">
      <c r="A6" s="8">
        <f>UPPER(DanhMuc!$C$16)</f>
        <v/>
      </c>
    </row>
    <row r="7" ht="18" customHeight="1">
      <c r="A7" s="8">
        <f>"SỐ: "&amp;DanhMuc!$D$16</f>
        <v/>
      </c>
    </row>
    <row r="8" ht="18" customHeight="1">
      <c r="A8" s="5">
        <f>"Dự án: "&amp;DuAn</f>
        <v/>
      </c>
    </row>
    <row r="9" ht="33.75" customHeight="1">
      <c r="A9" s="5">
        <f>"Gói thầu: "&amp;GoiThau</f>
        <v/>
      </c>
    </row>
    <row r="10" ht="18" customHeight="1">
      <c r="A10" s="5">
        <f>"Hạng mục: "&amp;HangMuc</f>
        <v/>
      </c>
    </row>
    <row r="11" ht="18" customHeight="1">
      <c r="A11" s="5">
        <f>"Địa điểm: "&amp;DiaDiem</f>
        <v/>
      </c>
    </row>
    <row r="12" ht="18" customHeight="1">
      <c r="A12" s="4" t="inlineStr">
        <is>
          <t>1. Đối tượng nghiệm thu:</t>
        </is>
      </c>
    </row>
    <row r="13" ht="33.75" customHeight="1">
      <c r="A13" s="24" t="inlineStr">
        <is>
          <t>Hoàn thành hạng mục Cung cấp và lắp đặt Thang máy P3 (thang máy chở người/PCCC có phòng máy, Schindler) tại Tòa nhà Trung tâm Điều hành - ĐHQG Hà Nội.</t>
        </is>
      </c>
    </row>
    <row r="14" ht="18" customHeight="1">
      <c r="A14" s="4" t="inlineStr">
        <is>
          <t>2. Thành phần nghiệm thu:</t>
        </is>
      </c>
    </row>
    <row r="15" ht="33.75" customHeight="1">
      <c r="A15" s="24">
        <f>"- Đại diện Bên A (Bên Mua): "&amp;BenA_Ten</f>
        <v/>
      </c>
    </row>
    <row r="16" ht="18" customHeight="1">
      <c r="A16" s="24">
        <f>"  Ông/Bà: "&amp;IF(BenA_PL="","…......................................",BenA_PL)&amp;"          Chức vụ: "&amp;IF(BenA_PL_CV="","…....................",BenA_PL_CV)</f>
        <v/>
      </c>
    </row>
    <row r="17" ht="33.75" customHeight="1">
      <c r="A17" s="24">
        <f>"- Đại diện Bên B (Bên Bán): "&amp;BenB_Ten</f>
        <v/>
      </c>
    </row>
    <row r="18" ht="18" customHeight="1">
      <c r="A18" s="24">
        <f>"  Ông/Bà: "&amp;IF(BenB_PL="","…......................................",BenB_PL)&amp;"          Chức vụ: "&amp;IF(BenB_PL_CV="","…....................",BenB_PL_CV)</f>
        <v/>
      </c>
    </row>
    <row r="19" ht="18" customHeight="1">
      <c r="A19" s="4" t="inlineStr">
        <is>
          <t>3. Thời gian và địa điểm nghiệm thu:</t>
        </is>
      </c>
    </row>
    <row r="20" ht="18" customHeight="1">
      <c r="A20" s="24">
        <f>"- Bắt đầu: "&amp;IF(DanhMuc!$F$16="","…....... giờ …....... phút",DanhMuc!$F$16)&amp;", "&amp;IF(LEN(DanhMuc!$H$16)=10,"ngày "&amp;LEFT(DanhMuc!$H$16,2)&amp;" tháng "&amp;MID(DanhMuc!$H$16,4,2)&amp;" năm "&amp;RIGHT(DanhMuc!$H$16,4),"ngày …....... tháng …....... năm 2026")</f>
        <v/>
      </c>
    </row>
    <row r="21" ht="18" customHeight="1">
      <c r="A21" s="24">
        <f>"- Kết thúc: "&amp;IF(DanhMuc!$G$16="","…....... giờ …....... phút",DanhMuc!$G$16)&amp;", "&amp;IF(LEN(DanhMuc!$H$16)=10,"ngày "&amp;LEFT(DanhMuc!$H$16,2)&amp;" tháng "&amp;MID(DanhMuc!$H$16,4,2)&amp;" năm "&amp;RIGHT(DanhMuc!$H$16,4),"ngày …....... tháng …....... năm 2026")</f>
        <v/>
      </c>
    </row>
    <row r="22" ht="33.75" customHeight="1">
      <c r="A22" s="24" t="inlineStr">
        <is>
          <t>- Tại: Công trường Tòa nhà Trung tâm Điều hành, Khu Trung tâm ĐHQG Hà Nội, xã Hòa Lạc, Hà Nội</t>
        </is>
      </c>
    </row>
    <row r="23" ht="18" customHeight="1">
      <c r="A23" s="4" t="inlineStr">
        <is>
          <t>4. Căn cứ nghiệm thu:</t>
        </is>
      </c>
    </row>
    <row r="24" ht="18" customHeight="1">
      <c r="A24" s="25" t="inlineStr">
        <is>
          <t>a) Tài liệu pháp lý và hợp đồng:</t>
        </is>
      </c>
    </row>
    <row r="25" ht="33.75" customHeight="1">
      <c r="A25" s="26">
        <f>"- Hợp đồng mua bán số "&amp;SoHD&amp;" ký ngày "&amp;NgayHD&amp;" giữa "&amp;BenA_Ten&amp;" (Bên A) và "&amp;BenB_Ten&amp;" (Bên B)."</f>
        <v/>
      </c>
    </row>
    <row r="26" ht="18" customHeight="1">
      <c r="A26" s="26">
        <f>"- "&amp;"Phụ lục Hợp đồng số "&amp;SoPL&amp;" ký ngày "&amp;NgayPL&amp;" của Hợp đồng số "&amp;SoHD&amp;"."</f>
        <v/>
      </c>
    </row>
    <row r="27" ht="18" customHeight="1">
      <c r="A27" s="26" t="inlineStr">
        <is>
          <t>- Hồ sơ thiết kế, bản vẽ thi công thang máy được hai Bên phê duyệt.</t>
        </is>
      </c>
    </row>
    <row r="28" ht="18" customHeight="1">
      <c r="A28" s="26" t="inlineStr">
        <is>
          <t>- Biên bản phê duyệt vật liệu/thiết bị số: ….......</t>
        </is>
      </c>
    </row>
    <row r="29" ht="18" customHeight="1">
      <c r="A29" s="26">
        <f>"- Biên bản nghiệm thu vật tư thiết bị số: 1/TM/BBNTVL-TB/"&amp;MaDA&amp;" ngày "&amp;NgayBBVT&amp;"."</f>
        <v/>
      </c>
    </row>
    <row r="30" ht="18" customHeight="1">
      <c r="A30" s="26">
        <f>"- BB lắp đặt tĩnh: "&amp;DanhMuc!$D$6</f>
        <v/>
      </c>
    </row>
    <row r="31" ht="18" customHeight="1">
      <c r="A31" s="26">
        <f>"- BB đơn động không tải: "&amp;DanhMuc!$D$8</f>
        <v/>
      </c>
    </row>
    <row r="32" ht="18" customHeight="1">
      <c r="A32" s="26">
        <f>"- BB đơn động có tải: "&amp;DanhMuc!$D$10</f>
        <v/>
      </c>
    </row>
    <row r="33" ht="18" customHeight="1">
      <c r="A33" s="26">
        <f>"- BB liên động không tải: "&amp;DanhMuc!$D$12</f>
        <v/>
      </c>
    </row>
    <row r="34" ht="18" customHeight="1">
      <c r="A34" s="26">
        <f>"- BB liên động có tải: "&amp;DanhMuc!$D$14</f>
        <v/>
      </c>
    </row>
    <row r="35" ht="33.75" customHeight="1">
      <c r="A35" s="26" t="inlineStr">
        <is>
          <t>- Giấy chứng nhận kiểm định kỹ thuật an toàn thang máy P3 (Cơ quan kiểm định được chỉ định).</t>
        </is>
      </c>
    </row>
    <row r="36" ht="18" customHeight="1">
      <c r="A36" s="25" t="inlineStr">
        <is>
          <t>b) Quy chuẩn, tiêu chuẩn áp dụng:</t>
        </is>
      </c>
    </row>
    <row r="37" ht="18" customHeight="1">
      <c r="A37" s="26" t="inlineStr">
        <is>
          <t>- Nghị định 06/2021/NĐ-CP: Quản lý chất lượng và bảo trì công trình xây dựng;</t>
        </is>
      </c>
    </row>
    <row r="38" ht="18" customHeight="1">
      <c r="A38" s="26" t="inlineStr">
        <is>
          <t>- Thông tư 10/2021/TT-BXD hướng dẫn thi hành Nghị định 06/2021/NĐ-CP;</t>
        </is>
      </c>
    </row>
    <row r="39" ht="33.75" customHeight="1">
      <c r="A39" s="26" t="inlineStr">
        <is>
          <t>- QCVN 02:2019/BLĐTBXH: Quy chuẩn kỹ thuật quốc gia về an toàn lao động đối với thang máy;</t>
        </is>
      </c>
    </row>
    <row r="40" ht="33.75" customHeight="1">
      <c r="A40" s="26" t="inlineStr">
        <is>
          <t>- TCVN 6396-20:2017 (EN 81-20:2014): Yêu cầu an toàn về cấu tạo và lắp đặt thang máy chở người;</t>
        </is>
      </c>
    </row>
    <row r="41" ht="18" customHeight="1">
      <c r="A41" s="26" t="inlineStr">
        <is>
          <t>- TCVN 6396-72:2010 (EN 81-72:2003): Thang máy chữa cháy - yêu cầu an toàn;</t>
        </is>
      </c>
    </row>
    <row r="42" ht="18" customHeight="1">
      <c r="A42" s="26" t="inlineStr">
        <is>
          <t>- TCVN 170:2007: Kết cấu thép - Gia công, lắp ráp và nghiệm thu;</t>
        </is>
      </c>
    </row>
    <row r="43" ht="18" customHeight="1">
      <c r="A43" s="26" t="inlineStr">
        <is>
          <t>- Và các tiêu chuẩn liên quan khác.</t>
        </is>
      </c>
    </row>
    <row r="44" ht="18" customHeight="1">
      <c r="A44" s="25" t="inlineStr">
        <is>
          <t>c) Tài liệu kỹ thuật:</t>
        </is>
      </c>
    </row>
    <row r="45" ht="33.75" customHeight="1">
      <c r="A45" s="26" t="inlineStr">
        <is>
          <t>- Nhật ký thi công, nhật ký giám sát và các văn bản liên quan đến đối tượng nghiệm thu.</t>
        </is>
      </c>
    </row>
    <row r="46" ht="18" customHeight="1">
      <c r="A46" s="26" t="inlineStr">
        <is>
          <t>- Catalogue kỹ thuật và chứng chỉ chất lượng của nhà sản xuất Schindler.</t>
        </is>
      </c>
    </row>
    <row r="47" ht="18" customHeight="1">
      <c r="A47" s="4" t="inlineStr">
        <is>
          <t>5. Nội dung đánh giá hoàn thành hạng mục:</t>
        </is>
      </c>
    </row>
    <row r="48" ht="33.75" customHeight="1">
      <c r="A48" s="24" t="inlineStr">
        <is>
          <t>Xác nhận toàn bộ quá trình lắp đặt, thử nghiệm, kiểm định đã hoàn tất. Hồ sơ hoàn công và tài liệu vận hành đã bàn giao. Kết quả chi tiết xem Phụ lục Checklist.</t>
        </is>
      </c>
    </row>
    <row r="49" ht="18" customHeight="1">
      <c r="A49" s="4" t="inlineStr">
        <is>
          <t>6. Kết quả:</t>
        </is>
      </c>
    </row>
    <row r="50" ht="33.75" customHeight="1">
      <c r="A50" s="24" t="inlineStr">
        <is>
          <t>- Hạng mục Cung cấp và lắp đặt Thang máy P3 đã hoàn thành, đạt chất lượng theo yêu cầu thiết kế, QCVN 02:2019/BLĐTBXH, TCVN 6396-20:2017 và TCVN 6396-72:2010.</t>
        </is>
      </c>
    </row>
    <row r="51" ht="18" customHeight="1">
      <c r="A51" s="5" t="inlineStr">
        <is>
          <t>7. Các ý kiến khác (nếu có):</t>
        </is>
      </c>
    </row>
    <row r="52" ht="18" customHeight="1">
      <c r="A52" s="24" t="inlineStr">
        <is>
          <t>-</t>
        </is>
      </c>
    </row>
    <row r="53" ht="18" customHeight="1">
      <c r="A53" s="4" t="inlineStr">
        <is>
          <t>8. Kết luận:</t>
        </is>
      </c>
    </row>
    <row r="54" ht="18" customHeight="1">
      <c r="A54" s="24" t="inlineStr">
        <is>
          <t>☑  Đồng ý nghiệm thu hoàn thành hạng mục và đưa Thang máy P3 vào sử dụng.</t>
        </is>
      </c>
    </row>
    <row r="55" ht="33.75" customHeight="1">
      <c r="A55" s="24" t="inlineStr">
        <is>
          <t>☐  Không đồng ý nghiệm thu (lý do: ….................................................................)</t>
        </is>
      </c>
    </row>
    <row r="56" ht="7.5" customHeight="1"/>
    <row r="57" ht="83.25" customHeight="1">
      <c r="A57" s="23">
        <f>"ĐẠI DIỆN BÊN A
"&amp;UPPER(BenA_Ten)&amp;"
(Ký, đóng dấu, ghi rõ họ tên)"</f>
        <v/>
      </c>
      <c r="F57" s="23">
        <f>"ĐẠI DIỆN BÊN B
"&amp;UPPER(BenB_Ten)&amp;"
(Ký, đóng dấu, ghi rõ họ tên)"</f>
        <v/>
      </c>
    </row>
    <row r="58" ht="18" customHeight="1">
      <c r="A58" s="8" t="inlineStr">
        <is>
          <t>PHỤ LỤC</t>
        </is>
      </c>
    </row>
    <row r="59" ht="18" customHeight="1">
      <c r="A59" s="8" t="inlineStr">
        <is>
          <t>BẢNG KIỂM TRA (CHECKLIST) - HOÀN THÀNH HẠNG MỤC ĐƯA VÀO SỬ DỤNG</t>
        </is>
      </c>
    </row>
    <row r="60" ht="18" customHeight="1">
      <c r="A60" s="27">
        <f>"Kèm theo: "&amp;DanhMuc!$D$16</f>
        <v/>
      </c>
    </row>
    <row r="61" ht="18" customHeight="1">
      <c r="A61" s="5" t="inlineStr">
        <is>
          <t>Thang máy: P3 - Thang máy chở người/PCCC có phòng máy (Schindler)</t>
        </is>
      </c>
    </row>
    <row r="62" ht="18" customHeight="1">
      <c r="A62" s="5" t="inlineStr">
        <is>
          <t>Căn cứ: TCVN 6396-20:2017 (EN 81-20:2014) &amp; TCVN 6396-72:2010 (EN 81-72:2003)</t>
        </is>
      </c>
    </row>
    <row r="63" ht="33.75" customHeight="1">
      <c r="A63" s="15" t="inlineStr">
        <is>
          <t>STT</t>
        </is>
      </c>
      <c r="B63" s="15" t="inlineStr">
        <is>
          <t>Nội dung kiểm tra</t>
        </is>
      </c>
      <c r="C63" s="43" t="n"/>
      <c r="D63" s="42" t="n"/>
      <c r="E63" s="15" t="inlineStr">
        <is>
          <t>Yêu cầu kỹ thuật / Tham chiếu</t>
        </is>
      </c>
      <c r="F63" s="43" t="n"/>
      <c r="G63" s="42" t="n"/>
      <c r="H63" s="15" t="inlineStr">
        <is>
          <t>Kết quả thực tế</t>
        </is>
      </c>
      <c r="I63" s="15" t="inlineStr">
        <is>
          <t>Đánh giá</t>
        </is>
      </c>
      <c r="J63" s="15" t="inlineStr">
        <is>
          <t>Ghi chú</t>
        </is>
      </c>
    </row>
    <row r="64" ht="18" customHeight="1">
      <c r="A64" s="28" t="inlineStr">
        <is>
          <t>A. XÁC NHẬN CÁC BIÊN BẢN NGHIỆM THU TRƯỚC</t>
        </is>
      </c>
      <c r="B64" s="43" t="n"/>
      <c r="C64" s="43" t="n"/>
      <c r="D64" s="43" t="n"/>
      <c r="E64" s="43" t="n"/>
      <c r="F64" s="43" t="n"/>
      <c r="G64" s="43" t="n"/>
      <c r="H64" s="43" t="n"/>
      <c r="I64" s="43" t="n"/>
      <c r="J64" s="42" t="n"/>
    </row>
    <row r="65" ht="33.75" customHeight="1">
      <c r="A65" s="22" t="inlineStr">
        <is>
          <t>A.1</t>
        </is>
      </c>
      <c r="B65" s="18" t="inlineStr">
        <is>
          <t>Đã có BB nghiệm thu lắp đặt tĩnh số 1/TM/BBNLT/...</t>
        </is>
      </c>
      <c r="C65" s="43" t="n"/>
      <c r="D65" s="42" t="n"/>
      <c r="E65" s="18" t="inlineStr">
        <is>
          <t>Hồ sơ</t>
        </is>
      </c>
      <c r="F65" s="43" t="n"/>
      <c r="G65" s="42" t="n"/>
      <c r="H65" s="22" t="inlineStr">
        <is>
          <t>Đạt</t>
        </is>
      </c>
      <c r="I65" s="22" t="inlineStr">
        <is>
          <t>☑ Đạt</t>
        </is>
      </c>
      <c r="J65" s="18" t="n"/>
    </row>
    <row r="66" ht="33.75" customHeight="1">
      <c r="A66" s="22" t="inlineStr">
        <is>
          <t>A.2</t>
        </is>
      </c>
      <c r="B66" s="18" t="inlineStr">
        <is>
          <t>Đã có BB chạy thử đơn động không tải số 2/TM/BBNCTDDKT/...</t>
        </is>
      </c>
      <c r="C66" s="43" t="n"/>
      <c r="D66" s="42" t="n"/>
      <c r="E66" s="18" t="inlineStr">
        <is>
          <t>Hồ sơ</t>
        </is>
      </c>
      <c r="F66" s="43" t="n"/>
      <c r="G66" s="42" t="n"/>
      <c r="H66" s="22" t="inlineStr">
        <is>
          <t>Đạt</t>
        </is>
      </c>
      <c r="I66" s="22" t="inlineStr">
        <is>
          <t>☑ Đạt</t>
        </is>
      </c>
      <c r="J66" s="18" t="n"/>
    </row>
    <row r="67" ht="33.75" customHeight="1">
      <c r="A67" s="22" t="inlineStr">
        <is>
          <t>A.3</t>
        </is>
      </c>
      <c r="B67" s="18" t="inlineStr">
        <is>
          <t>Đã có BB chạy thử đơn động có tải số 3/TM/BBNCTDDCT/...</t>
        </is>
      </c>
      <c r="C67" s="43" t="n"/>
      <c r="D67" s="42" t="n"/>
      <c r="E67" s="18" t="inlineStr">
        <is>
          <t>Hồ sơ</t>
        </is>
      </c>
      <c r="F67" s="43" t="n"/>
      <c r="G67" s="42" t="n"/>
      <c r="H67" s="22" t="inlineStr">
        <is>
          <t>Đạt</t>
        </is>
      </c>
      <c r="I67" s="22" t="inlineStr">
        <is>
          <t>☑ Đạt</t>
        </is>
      </c>
      <c r="J67" s="18" t="n"/>
    </row>
    <row r="68" ht="33.75" customHeight="1">
      <c r="A68" s="22" t="inlineStr">
        <is>
          <t>A.4</t>
        </is>
      </c>
      <c r="B68" s="18" t="inlineStr">
        <is>
          <t>Đã có BB liên động không tải số 4/TM/BBNCTLDKT/...</t>
        </is>
      </c>
      <c r="C68" s="43" t="n"/>
      <c r="D68" s="42" t="n"/>
      <c r="E68" s="18" t="inlineStr">
        <is>
          <t>Hồ sơ</t>
        </is>
      </c>
      <c r="F68" s="43" t="n"/>
      <c r="G68" s="42" t="n"/>
      <c r="H68" s="22" t="inlineStr">
        <is>
          <t>Đạt</t>
        </is>
      </c>
      <c r="I68" s="22" t="inlineStr">
        <is>
          <t>☑ Đạt</t>
        </is>
      </c>
      <c r="J68" s="18" t="n"/>
    </row>
    <row r="69" ht="33.75" customHeight="1">
      <c r="A69" s="22" t="inlineStr">
        <is>
          <t>A.5</t>
        </is>
      </c>
      <c r="B69" s="18" t="inlineStr">
        <is>
          <t>Đã có BB liên động có tải số 5/TM/BBNCTLDCT/...</t>
        </is>
      </c>
      <c r="C69" s="43" t="n"/>
      <c r="D69" s="42" t="n"/>
      <c r="E69" s="18" t="inlineStr">
        <is>
          <t>Hồ sơ</t>
        </is>
      </c>
      <c r="F69" s="43" t="n"/>
      <c r="G69" s="42" t="n"/>
      <c r="H69" s="22" t="inlineStr">
        <is>
          <t>Đạt</t>
        </is>
      </c>
      <c r="I69" s="22" t="inlineStr">
        <is>
          <t>☑ Đạt</t>
        </is>
      </c>
      <c r="J69" s="18" t="n"/>
    </row>
    <row r="70" ht="49.5" customHeight="1">
      <c r="A70" s="22" t="inlineStr">
        <is>
          <t>A.6</t>
        </is>
      </c>
      <c r="B70" s="18" t="inlineStr">
        <is>
          <t>Đã có Giấy chứng nhận kiểm định kỹ thuật an toàn thang máy (cơ quan kiểm định được chỉ định)</t>
        </is>
      </c>
      <c r="C70" s="43" t="n"/>
      <c r="D70" s="42" t="n"/>
      <c r="E70" s="18" t="inlineStr">
        <is>
          <t>QCVN 02:2019</t>
        </is>
      </c>
      <c r="F70" s="43" t="n"/>
      <c r="G70" s="42" t="n"/>
      <c r="H70" s="22" t="inlineStr">
        <is>
          <t>Đạt</t>
        </is>
      </c>
      <c r="I70" s="22" t="inlineStr">
        <is>
          <t>☑ Đạt</t>
        </is>
      </c>
      <c r="J70" s="18" t="n"/>
    </row>
    <row r="71" ht="18" customHeight="1">
      <c r="A71" s="28" t="inlineStr">
        <is>
          <t>B. HỒ SƠ HOÀN CÔNG &amp; TÀI LIỆU BÀN GIAO (TCVN 6396-20:2017 §16)</t>
        </is>
      </c>
      <c r="B71" s="43" t="n"/>
      <c r="C71" s="43" t="n"/>
      <c r="D71" s="43" t="n"/>
      <c r="E71" s="43" t="n"/>
      <c r="F71" s="43" t="n"/>
      <c r="G71" s="43" t="n"/>
      <c r="H71" s="43" t="n"/>
      <c r="I71" s="43" t="n"/>
      <c r="J71" s="42" t="n"/>
    </row>
    <row r="72" ht="33.75" customHeight="1">
      <c r="A72" s="22" t="inlineStr">
        <is>
          <t>B.1</t>
        </is>
      </c>
      <c r="B72" s="18" t="inlineStr">
        <is>
          <t>Bản vẽ hoàn công đã được ký xác nhận đầy đủ</t>
        </is>
      </c>
      <c r="C72" s="43" t="n"/>
      <c r="D72" s="42" t="n"/>
      <c r="E72" s="18" t="inlineStr">
        <is>
          <t>§16.1</t>
        </is>
      </c>
      <c r="F72" s="43" t="n"/>
      <c r="G72" s="42" t="n"/>
      <c r="H72" s="22" t="inlineStr">
        <is>
          <t>Đạt</t>
        </is>
      </c>
      <c r="I72" s="22" t="inlineStr">
        <is>
          <t>☑ Đạt</t>
        </is>
      </c>
      <c r="J72" s="18" t="n"/>
    </row>
    <row r="73" ht="33.75" customHeight="1">
      <c r="A73" s="22" t="inlineStr">
        <is>
          <t>B.2</t>
        </is>
      </c>
      <c r="B73" s="18" t="inlineStr">
        <is>
          <t>Hướng dẫn vận hành thang máy (tiếng Việt) của Schindler</t>
        </is>
      </c>
      <c r="C73" s="43" t="n"/>
      <c r="D73" s="42" t="n"/>
      <c r="E73" s="18" t="inlineStr">
        <is>
          <t>§16.2</t>
        </is>
      </c>
      <c r="F73" s="43" t="n"/>
      <c r="G73" s="42" t="n"/>
      <c r="H73" s="22" t="inlineStr">
        <is>
          <t>Đạt</t>
        </is>
      </c>
      <c r="I73" s="22" t="inlineStr">
        <is>
          <t>☑ Đạt</t>
        </is>
      </c>
      <c r="J73" s="18" t="n"/>
    </row>
    <row r="74" ht="33.75" customHeight="1">
      <c r="A74" s="22" t="inlineStr">
        <is>
          <t>B.3</t>
        </is>
      </c>
      <c r="B74" s="18" t="inlineStr">
        <is>
          <t>Hướng dẫn bảo trì định kỳ, danh sách phụ tùng thay thế</t>
        </is>
      </c>
      <c r="C74" s="43" t="n"/>
      <c r="D74" s="42" t="n"/>
      <c r="E74" s="18" t="inlineStr">
        <is>
          <t>§16.2</t>
        </is>
      </c>
      <c r="F74" s="43" t="n"/>
      <c r="G74" s="42" t="n"/>
      <c r="H74" s="22" t="inlineStr">
        <is>
          <t>Đạt</t>
        </is>
      </c>
      <c r="I74" s="22" t="inlineStr">
        <is>
          <t>☑ Đạt</t>
        </is>
      </c>
      <c r="J74" s="18" t="n"/>
    </row>
    <row r="75" ht="33.75" customHeight="1">
      <c r="A75" s="22" t="inlineStr">
        <is>
          <t>B.4</t>
        </is>
      </c>
      <c r="B75" s="18" t="inlineStr">
        <is>
          <t>Catalogue kỹ thuật, chứng chỉ chất lượng (CO, CQ) còn hiệu lực</t>
        </is>
      </c>
      <c r="C75" s="43" t="n"/>
      <c r="D75" s="42" t="n"/>
      <c r="E75" s="18" t="inlineStr">
        <is>
          <t>Hồ sơ</t>
        </is>
      </c>
      <c r="F75" s="43" t="n"/>
      <c r="G75" s="42" t="n"/>
      <c r="H75" s="22" t="inlineStr">
        <is>
          <t>Đạt</t>
        </is>
      </c>
      <c r="I75" s="22" t="inlineStr">
        <is>
          <t>☑ Đạt</t>
        </is>
      </c>
      <c r="J75" s="18" t="n"/>
    </row>
    <row r="76" ht="33.75" customHeight="1">
      <c r="A76" s="22" t="inlineStr">
        <is>
          <t>B.5</t>
        </is>
      </c>
      <c r="B76" s="18" t="inlineStr">
        <is>
          <t>Hồ sơ năng lực, giấy phép lắp đặt thang máy của nhà thầu</t>
        </is>
      </c>
      <c r="C76" s="43" t="n"/>
      <c r="D76" s="42" t="n"/>
      <c r="E76" s="18" t="inlineStr">
        <is>
          <t>QCVN 02:2019</t>
        </is>
      </c>
      <c r="F76" s="43" t="n"/>
      <c r="G76" s="42" t="n"/>
      <c r="H76" s="22" t="inlineStr">
        <is>
          <t>Đạt</t>
        </is>
      </c>
      <c r="I76" s="22" t="inlineStr">
        <is>
          <t>☑ Đạt</t>
        </is>
      </c>
      <c r="J76" s="18" t="n"/>
    </row>
    <row r="77" ht="33.75" customHeight="1">
      <c r="A77" s="22" t="inlineStr">
        <is>
          <t>B.6</t>
        </is>
      </c>
      <c r="B77" s="18" t="inlineStr">
        <is>
          <t>Nhật ký thi công được ký xác nhận đầy đủ</t>
        </is>
      </c>
      <c r="C77" s="43" t="n"/>
      <c r="D77" s="42" t="n"/>
      <c r="E77" s="18" t="inlineStr">
        <is>
          <t>Hợp đồng</t>
        </is>
      </c>
      <c r="F77" s="43" t="n"/>
      <c r="G77" s="42" t="n"/>
      <c r="H77" s="22" t="inlineStr">
        <is>
          <t>Đạt</t>
        </is>
      </c>
      <c r="I77" s="22" t="inlineStr">
        <is>
          <t>☑ Đạt</t>
        </is>
      </c>
      <c r="J77" s="18" t="n"/>
    </row>
    <row r="78" ht="18" customHeight="1">
      <c r="A78" s="28" t="inlineStr">
        <is>
          <t>C. KIỂM TRA MỸ QUAN &amp; HOÀN THIỆN</t>
        </is>
      </c>
      <c r="B78" s="43" t="n"/>
      <c r="C78" s="43" t="n"/>
      <c r="D78" s="43" t="n"/>
      <c r="E78" s="43" t="n"/>
      <c r="F78" s="43" t="n"/>
      <c r="G78" s="43" t="n"/>
      <c r="H78" s="43" t="n"/>
      <c r="I78" s="43" t="n"/>
      <c r="J78" s="42" t="n"/>
    </row>
    <row r="79" ht="33.75" customHeight="1">
      <c r="A79" s="22" t="inlineStr">
        <is>
          <t>C.1</t>
        </is>
      </c>
      <c r="B79" s="18" t="inlineStr">
        <is>
          <t>Ốp cabin, trần cabin, sàn cabin hoàn thiện, sạch sẽ, không trầy xước</t>
        </is>
      </c>
      <c r="C79" s="43" t="n"/>
      <c r="D79" s="42" t="n"/>
      <c r="E79" s="18" t="inlineStr">
        <is>
          <t>Thiết kế</t>
        </is>
      </c>
      <c r="F79" s="43" t="n"/>
      <c r="G79" s="42" t="n"/>
      <c r="H79" s="22" t="inlineStr">
        <is>
          <t>Đạt</t>
        </is>
      </c>
      <c r="I79" s="22" t="inlineStr">
        <is>
          <t>☑ Đạt</t>
        </is>
      </c>
      <c r="J79" s="18" t="n"/>
    </row>
    <row r="80" ht="33.75" customHeight="1">
      <c r="A80" s="22" t="inlineStr">
        <is>
          <t>C.2</t>
        </is>
      </c>
      <c r="B80" s="18" t="inlineStr">
        <is>
          <t>Cửa tầng: ốp cạnh, ngưỡng cửa, khung cửa hoàn thiện đúng mẫu</t>
        </is>
      </c>
      <c r="C80" s="43" t="n"/>
      <c r="D80" s="42" t="n"/>
      <c r="E80" s="18" t="inlineStr">
        <is>
          <t>Thiết kế</t>
        </is>
      </c>
      <c r="F80" s="43" t="n"/>
      <c r="G80" s="42" t="n"/>
      <c r="H80" s="22" t="inlineStr">
        <is>
          <t>Đạt</t>
        </is>
      </c>
      <c r="I80" s="22" t="inlineStr">
        <is>
          <t>☑ Đạt</t>
        </is>
      </c>
      <c r="J80" s="18" t="n"/>
    </row>
    <row r="81" ht="33.75" customHeight="1">
      <c r="A81" s="22" t="inlineStr">
        <is>
          <t>C.3</t>
        </is>
      </c>
      <c r="B81" s="18" t="inlineStr">
        <is>
          <t>Bảng điều khiển tầng (hall button) gắn chắc, nhãn tầng rõ ràng</t>
        </is>
      </c>
      <c r="C81" s="43" t="n"/>
      <c r="D81" s="42" t="n"/>
      <c r="E81" s="18" t="inlineStr">
        <is>
          <t>§8.13</t>
        </is>
      </c>
      <c r="F81" s="43" t="n"/>
      <c r="G81" s="42" t="n"/>
      <c r="H81" s="22" t="inlineStr">
        <is>
          <t>Đạt</t>
        </is>
      </c>
      <c r="I81" s="22" t="inlineStr">
        <is>
          <t>☑ Đạt</t>
        </is>
      </c>
      <c r="J81" s="18" t="n"/>
    </row>
    <row r="82" ht="33.75" customHeight="1">
      <c r="A82" s="22" t="inlineStr">
        <is>
          <t>C.4</t>
        </is>
      </c>
      <c r="B82" s="18" t="inlineStr">
        <is>
          <t>Biển hiệu: tải trọng tối đa, số người tối đa dán trong cabin</t>
        </is>
      </c>
      <c r="C82" s="43" t="n"/>
      <c r="D82" s="42" t="n"/>
      <c r="E82" s="18" t="inlineStr">
        <is>
          <t>§8.14</t>
        </is>
      </c>
      <c r="F82" s="43" t="n"/>
      <c r="G82" s="42" t="n"/>
      <c r="H82" s="22" t="inlineStr">
        <is>
          <t>Đạt</t>
        </is>
      </c>
      <c r="I82" s="22" t="inlineStr">
        <is>
          <t>☑ Đạt</t>
        </is>
      </c>
      <c r="J82" s="18" t="n"/>
    </row>
    <row r="83" ht="33.75" customHeight="1">
      <c r="A83" s="22" t="inlineStr">
        <is>
          <t>C.5</t>
        </is>
      </c>
      <c r="B83" s="18" t="inlineStr">
        <is>
          <t>Ký hiệu PCCC dán rõ ràng tại cabin và tầng cứu hỏa</t>
        </is>
      </c>
      <c r="C83" s="43" t="n"/>
      <c r="D83" s="42" t="n"/>
      <c r="E83" s="18" t="inlineStr">
        <is>
          <t>TCVN 6396-72:2010 §5.5</t>
        </is>
      </c>
      <c r="F83" s="43" t="n"/>
      <c r="G83" s="42" t="n"/>
      <c r="H83" s="22" t="inlineStr">
        <is>
          <t>Đạt</t>
        </is>
      </c>
      <c r="I83" s="22" t="inlineStr">
        <is>
          <t>☑ Đạt</t>
        </is>
      </c>
      <c r="J83" s="18" t="n"/>
    </row>
    <row r="84" ht="49.5" customHeight="1">
      <c r="A84" s="22" t="inlineStr">
        <is>
          <t>C.6</t>
        </is>
      </c>
      <c r="B84" s="18" t="inlineStr">
        <is>
          <t>Phòng máy: dọn dẹp sạch sẽ, dụng cụ và tài liệu kỹ thuật sắp xếp ngăn nắp</t>
        </is>
      </c>
      <c r="C84" s="43" t="n"/>
      <c r="D84" s="42" t="n"/>
      <c r="E84" s="18" t="inlineStr">
        <is>
          <t>§6.3</t>
        </is>
      </c>
      <c r="F84" s="43" t="n"/>
      <c r="G84" s="42" t="n"/>
      <c r="H84" s="22" t="inlineStr">
        <is>
          <t>Đạt</t>
        </is>
      </c>
      <c r="I84" s="22" t="inlineStr">
        <is>
          <t>☑ Đạt</t>
        </is>
      </c>
      <c r="J84" s="18" t="n"/>
    </row>
    <row r="85" ht="18" customHeight="1">
      <c r="A85" s="28" t="inlineStr">
        <is>
          <t>D. KIỂM TRA VẬN HÀNH LẦN CUỐI TRƯỚC BÀN GIAO</t>
        </is>
      </c>
      <c r="B85" s="43" t="n"/>
      <c r="C85" s="43" t="n"/>
      <c r="D85" s="43" t="n"/>
      <c r="E85" s="43" t="n"/>
      <c r="F85" s="43" t="n"/>
      <c r="G85" s="43" t="n"/>
      <c r="H85" s="43" t="n"/>
      <c r="I85" s="43" t="n"/>
      <c r="J85" s="42" t="n"/>
    </row>
    <row r="86" ht="49.5" customHeight="1">
      <c r="A86" s="22" t="inlineStr">
        <is>
          <t>D.1</t>
        </is>
      </c>
      <c r="B86" s="18" t="inlineStr">
        <is>
          <t>Thang vận hành bình thường ở chế độ tự động: lên/xuống đầy đủ các tầng</t>
        </is>
      </c>
      <c r="C86" s="43" t="n"/>
      <c r="D86" s="42" t="n"/>
      <c r="E86" s="18" t="inlineStr">
        <is>
          <t>§12.1</t>
        </is>
      </c>
      <c r="F86" s="43" t="n"/>
      <c r="G86" s="42" t="n"/>
      <c r="H86" s="22" t="inlineStr">
        <is>
          <t>Đạt</t>
        </is>
      </c>
      <c r="I86" s="22" t="inlineStr">
        <is>
          <t>☑ Đạt</t>
        </is>
      </c>
      <c r="J86" s="18" t="n"/>
    </row>
    <row r="87" ht="33.75" customHeight="1">
      <c r="A87" s="22" t="inlineStr">
        <is>
          <t>D.2</t>
        </is>
      </c>
      <c r="B87" s="18" t="inlineStr">
        <is>
          <t>Tất cả nút gọi tầng và nút trong cabin hoạt động đúng</t>
        </is>
      </c>
      <c r="C87" s="43" t="n"/>
      <c r="D87" s="42" t="n"/>
      <c r="E87" s="18" t="inlineStr">
        <is>
          <t>§8.13</t>
        </is>
      </c>
      <c r="F87" s="43" t="n"/>
      <c r="G87" s="42" t="n"/>
      <c r="H87" s="22" t="inlineStr">
        <is>
          <t>Đạt</t>
        </is>
      </c>
      <c r="I87" s="22" t="inlineStr">
        <is>
          <t>☑ Đạt</t>
        </is>
      </c>
      <c r="J87" s="18" t="n"/>
    </row>
    <row r="88" ht="33.75" customHeight="1">
      <c r="A88" s="22" t="inlineStr">
        <is>
          <t>D.3</t>
        </is>
      </c>
      <c r="B88" s="18" t="inlineStr">
        <is>
          <t>Chuông/điện thoại khẩn cấp hoạt động, kết nối đến bộ phận quản lý</t>
        </is>
      </c>
      <c r="C88" s="43" t="n"/>
      <c r="D88" s="42" t="n"/>
      <c r="E88" s="18" t="inlineStr">
        <is>
          <t>§8.9</t>
        </is>
      </c>
      <c r="F88" s="43" t="n"/>
      <c r="G88" s="42" t="n"/>
      <c r="H88" s="22" t="inlineStr">
        <is>
          <t>Đạt</t>
        </is>
      </c>
      <c r="I88" s="22" t="inlineStr">
        <is>
          <t>☑ Đạt</t>
        </is>
      </c>
      <c r="J88" s="18" t="n"/>
    </row>
    <row r="89" ht="33.75" customHeight="1">
      <c r="A89" s="22" t="inlineStr">
        <is>
          <t>D.4</t>
        </is>
      </c>
      <c r="B89" s="18" t="inlineStr">
        <is>
          <t>Đèn chiếu sáng cabin, đèn sự cố hoạt động bình thường</t>
        </is>
      </c>
      <c r="C89" s="43" t="n"/>
      <c r="D89" s="42" t="n"/>
      <c r="E89" s="18" t="inlineStr">
        <is>
          <t>§8.10, §8.11</t>
        </is>
      </c>
      <c r="F89" s="43" t="n"/>
      <c r="G89" s="42" t="n"/>
      <c r="H89" s="22" t="inlineStr">
        <is>
          <t>Đạt</t>
        </is>
      </c>
      <c r="I89" s="22" t="inlineStr">
        <is>
          <t>☑ Đạt</t>
        </is>
      </c>
      <c r="J89" s="18" t="n"/>
    </row>
    <row r="90" ht="33.75" customHeight="1">
      <c r="A90" s="22" t="inlineStr">
        <is>
          <t>D.5</t>
        </is>
      </c>
      <c r="B90" s="18" t="inlineStr">
        <is>
          <t>Điều hòa phòng máy vận hành bình thường (nhiệt độ ≤ 40°C)</t>
        </is>
      </c>
      <c r="C90" s="43" t="n"/>
      <c r="D90" s="42" t="n"/>
      <c r="E90" s="18" t="inlineStr">
        <is>
          <t>§6.4</t>
        </is>
      </c>
      <c r="F90" s="43" t="n"/>
      <c r="G90" s="42" t="n"/>
      <c r="H90" s="22" t="inlineStr">
        <is>
          <t>Đạt</t>
        </is>
      </c>
      <c r="I90" s="22" t="inlineStr">
        <is>
          <t>☑ Đạt</t>
        </is>
      </c>
      <c r="J90" s="18" t="n"/>
    </row>
    <row r="91" ht="18" customHeight="1">
      <c r="A91" s="28" t="inlineStr">
        <is>
          <t>E. YÊU CẦU RIÊNG THANG PCCC (TCVN 6396-72:2010)</t>
        </is>
      </c>
      <c r="B91" s="43" t="n"/>
      <c r="C91" s="43" t="n"/>
      <c r="D91" s="43" t="n"/>
      <c r="E91" s="43" t="n"/>
      <c r="F91" s="43" t="n"/>
      <c r="G91" s="43" t="n"/>
      <c r="H91" s="43" t="n"/>
      <c r="I91" s="43" t="n"/>
      <c r="J91" s="42" t="n"/>
    </row>
    <row r="92" ht="33.75" customHeight="1">
      <c r="A92" s="22" t="inlineStr">
        <is>
          <t>E.1</t>
        </is>
      </c>
      <c r="B92" s="18" t="inlineStr">
        <is>
          <t>Kiểm tra lần cuối Phase 1 &amp; Phase 2 PCCC hoạt động đúng</t>
        </is>
      </c>
      <c r="C92" s="43" t="n"/>
      <c r="D92" s="42" t="n"/>
      <c r="E92" s="18" t="inlineStr">
        <is>
          <t>§5.7</t>
        </is>
      </c>
      <c r="F92" s="43" t="n"/>
      <c r="G92" s="42" t="n"/>
      <c r="H92" s="22" t="inlineStr">
        <is>
          <t>Đạt</t>
        </is>
      </c>
      <c r="I92" s="22" t="inlineStr">
        <is>
          <t>☑ Đạt</t>
        </is>
      </c>
      <c r="J92" s="18" t="n"/>
    </row>
    <row r="93" ht="33.75" customHeight="1">
      <c r="A93" s="22" t="inlineStr">
        <is>
          <t>E.2</t>
        </is>
      </c>
      <c r="B93" s="18" t="inlineStr">
        <is>
          <t>Nguồn điện dự phòng PCCC sẵn sàng, UPS/máy phát đã kiểm tra</t>
        </is>
      </c>
      <c r="C93" s="43" t="n"/>
      <c r="D93" s="42" t="n"/>
      <c r="E93" s="18" t="inlineStr">
        <is>
          <t>§5.9</t>
        </is>
      </c>
      <c r="F93" s="43" t="n"/>
      <c r="G93" s="42" t="n"/>
      <c r="H93" s="22" t="inlineStr">
        <is>
          <t>Đạt</t>
        </is>
      </c>
      <c r="I93" s="22" t="inlineStr">
        <is>
          <t>☑ Đạt</t>
        </is>
      </c>
      <c r="J93" s="18" t="n"/>
    </row>
    <row r="94" ht="33.75" customHeight="1">
      <c r="A94" s="22" t="inlineStr">
        <is>
          <t>E.3</t>
        </is>
      </c>
      <c r="B94" s="18" t="inlineStr">
        <is>
          <t>Bàn giao quy trình vận hành PCCC cho lực lượng PCCC công trình</t>
        </is>
      </c>
      <c r="C94" s="43" t="n"/>
      <c r="D94" s="42" t="n"/>
      <c r="E94" s="18" t="inlineStr">
        <is>
          <t>QCVN 02:2019</t>
        </is>
      </c>
      <c r="F94" s="43" t="n"/>
      <c r="G94" s="42" t="n"/>
      <c r="H94" s="22" t="inlineStr">
        <is>
          <t>Đạt</t>
        </is>
      </c>
      <c r="I94" s="22" t="inlineStr">
        <is>
          <t>☑ Đạt</t>
        </is>
      </c>
      <c r="J94" s="18" t="n"/>
    </row>
    <row r="95" ht="49.5" customHeight="1">
      <c r="A95" s="22" t="inlineStr">
        <is>
          <t>E.4</t>
        </is>
      </c>
      <c r="B95" s="18" t="inlineStr">
        <is>
          <t>Chứng nhận kiểm định PCCC (phòng cháy chữa cháy) còn hiệu lực kèm hồ sơ</t>
        </is>
      </c>
      <c r="C95" s="43" t="n"/>
      <c r="D95" s="42" t="n"/>
      <c r="E95" s="18" t="inlineStr">
        <is>
          <t>Luật PCCC</t>
        </is>
      </c>
      <c r="F95" s="43" t="n"/>
      <c r="G95" s="42" t="n"/>
      <c r="H95" s="22" t="inlineStr">
        <is>
          <t>Đạt</t>
        </is>
      </c>
      <c r="I95" s="22" t="inlineStr">
        <is>
          <t>☑ Đạt</t>
        </is>
      </c>
      <c r="J95" s="18" t="n"/>
    </row>
    <row r="96" ht="18" customHeight="1">
      <c r="A96" s="28" t="inlineStr">
        <is>
          <t>F. KẾT QUẢ KIỂM ĐỊNH KỸ THUẬT AN TOÀN</t>
        </is>
      </c>
      <c r="B96" s="43" t="n"/>
      <c r="C96" s="43" t="n"/>
      <c r="D96" s="43" t="n"/>
      <c r="E96" s="43" t="n"/>
      <c r="F96" s="43" t="n"/>
      <c r="G96" s="43" t="n"/>
      <c r="H96" s="43" t="n"/>
      <c r="I96" s="43" t="n"/>
      <c r="J96" s="42" t="n"/>
    </row>
    <row r="97" ht="33.75" customHeight="1">
      <c r="A97" s="22" t="inlineStr">
        <is>
          <t>F.1</t>
        </is>
      </c>
      <c r="B97" s="18" t="inlineStr">
        <is>
          <t>Giấy chứng nhận kiểm định kỹ thuật an toàn thang máy P3 còn hiệu lực</t>
        </is>
      </c>
      <c r="C97" s="43" t="n"/>
      <c r="D97" s="42" t="n"/>
      <c r="E97" s="18" t="inlineStr">
        <is>
          <t>QCVN 02:2019</t>
        </is>
      </c>
      <c r="F97" s="43" t="n"/>
      <c r="G97" s="42" t="n"/>
      <c r="H97" s="22" t="inlineStr">
        <is>
          <t>Đạt</t>
        </is>
      </c>
      <c r="I97" s="22" t="inlineStr">
        <is>
          <t>☑ Đạt</t>
        </is>
      </c>
      <c r="J97" s="18" t="n"/>
    </row>
    <row r="98" ht="33.75" customHeight="1">
      <c r="A98" s="22" t="inlineStr">
        <is>
          <t>F.2</t>
        </is>
      </c>
      <c r="B98" s="18" t="inlineStr">
        <is>
          <t>Tem kiểm định dán trong cabin, ghi rõ ngày hết hạn</t>
        </is>
      </c>
      <c r="C98" s="43" t="n"/>
      <c r="D98" s="42" t="n"/>
      <c r="E98" s="18" t="inlineStr">
        <is>
          <t>QCVN 02:2019</t>
        </is>
      </c>
      <c r="F98" s="43" t="n"/>
      <c r="G98" s="42" t="n"/>
      <c r="H98" s="22" t="inlineStr">
        <is>
          <t>Đạt</t>
        </is>
      </c>
      <c r="I98" s="22" t="inlineStr">
        <is>
          <t>☑ Đạt</t>
        </is>
      </c>
      <c r="J98" s="18" t="n"/>
    </row>
    <row r="99" ht="49.5" customHeight="1">
      <c r="A99" s="22" t="inlineStr">
        <is>
          <t>F.3</t>
        </is>
      </c>
      <c r="B99" s="18" t="inlineStr">
        <is>
          <t>Hồ sơ thiết bị thang máy đã đăng ký với cơ quan nhà nước có thẩm quyền</t>
        </is>
      </c>
      <c r="C99" s="43" t="n"/>
      <c r="D99" s="42" t="n"/>
      <c r="E99" s="18" t="inlineStr">
        <is>
          <t>QCVN 02:2019</t>
        </is>
      </c>
      <c r="F99" s="43" t="n"/>
      <c r="G99" s="42" t="n"/>
      <c r="H99" s="22" t="inlineStr">
        <is>
          <t>Đạt</t>
        </is>
      </c>
      <c r="I99" s="22" t="inlineStr">
        <is>
          <t>☑ Đạt</t>
        </is>
      </c>
      <c r="J99" s="18" t="n"/>
    </row>
    <row r="100" ht="7.5" customHeight="1"/>
    <row r="101" ht="18" customHeight="1">
      <c r="A101" s="3" t="inlineStr">
        <is>
          <t>Ghi chú đánh giá:  ☑ Đạt  |  ☐ Không đạt  |  N/A: Không áp dụng</t>
        </is>
      </c>
    </row>
    <row r="102" ht="18" customHeight="1">
      <c r="A102" s="5" t="inlineStr">
        <is>
          <t>Người kiểm tra (Bên A): ….................................    Ngày: ….............</t>
        </is>
      </c>
    </row>
    <row r="103" ht="18" customHeight="1">
      <c r="A103" s="5" t="inlineStr">
        <is>
          <t>Người kiểm tra (Bên B): ….................................    Ngày: …..............</t>
        </is>
      </c>
    </row>
    <row r="104" ht="7.5" customHeight="1"/>
    <row r="105" ht="64.5" customHeight="1">
      <c r="A105" s="23">
        <f>"ĐẠI DIỆN BÊN A
"&amp;UPPER(BenA_Ten)&amp;"
(Ký, ghi rõ họ tên)
…..............................."</f>
        <v/>
      </c>
      <c r="F105" s="23">
        <f>"ĐẠI DIỆN BÊN B
"&amp;UPPER(BenB_Ten)&amp;"
(Ký, ghi rõ họ tên)
…..............................."</f>
        <v/>
      </c>
    </row>
    <row r="106" ht="7.5" customHeight="1"/>
  </sheetData>
  <mergeCells count="134">
    <mergeCell ref="A23:J23"/>
    <mergeCell ref="A91:J91"/>
    <mergeCell ref="A43:J43"/>
    <mergeCell ref="A52:J52"/>
    <mergeCell ref="E95:G95"/>
    <mergeCell ref="E89:G89"/>
    <mergeCell ref="B84:D84"/>
    <mergeCell ref="A34:J34"/>
    <mergeCell ref="B92:D92"/>
    <mergeCell ref="A49:J49"/>
    <mergeCell ref="E81:G81"/>
    <mergeCell ref="A105:E105"/>
    <mergeCell ref="B80:D80"/>
    <mergeCell ref="A36:J36"/>
    <mergeCell ref="A57:E57"/>
    <mergeCell ref="B94:D94"/>
    <mergeCell ref="A6:J6"/>
    <mergeCell ref="B72:D72"/>
    <mergeCell ref="E83:G83"/>
    <mergeCell ref="A3:J3"/>
    <mergeCell ref="A55:J55"/>
    <mergeCell ref="E92:G92"/>
    <mergeCell ref="A12:J12"/>
    <mergeCell ref="B70:D70"/>
    <mergeCell ref="A5:J5"/>
    <mergeCell ref="A32:J32"/>
    <mergeCell ref="B98:D98"/>
    <mergeCell ref="A14:J14"/>
    <mergeCell ref="E69:G69"/>
    <mergeCell ref="E84:G84"/>
    <mergeCell ref="B73:D73"/>
    <mergeCell ref="B88:D88"/>
    <mergeCell ref="A29:J29"/>
    <mergeCell ref="A4:J4"/>
    <mergeCell ref="B82:D82"/>
    <mergeCell ref="A96:J96"/>
    <mergeCell ref="A38:J38"/>
    <mergeCell ref="A13:J13"/>
    <mergeCell ref="E77:G77"/>
    <mergeCell ref="A44:J44"/>
    <mergeCell ref="E86:G86"/>
    <mergeCell ref="E80:G80"/>
    <mergeCell ref="A31:J31"/>
    <mergeCell ref="A58:J58"/>
    <mergeCell ref="B99:D99"/>
    <mergeCell ref="A40:J40"/>
    <mergeCell ref="B74:D74"/>
    <mergeCell ref="E70:G70"/>
    <mergeCell ref="A15:J15"/>
    <mergeCell ref="B68:D68"/>
    <mergeCell ref="B83:D83"/>
    <mergeCell ref="A24:J24"/>
    <mergeCell ref="A60:J60"/>
    <mergeCell ref="E72:G72"/>
    <mergeCell ref="E97:G97"/>
    <mergeCell ref="B76:D76"/>
    <mergeCell ref="A7:J7"/>
    <mergeCell ref="B75:D75"/>
    <mergeCell ref="A16:J16"/>
    <mergeCell ref="A25:J25"/>
    <mergeCell ref="E98:G98"/>
    <mergeCell ref="A18:J18"/>
    <mergeCell ref="E79:G79"/>
    <mergeCell ref="A50:J50"/>
    <mergeCell ref="E73:G73"/>
    <mergeCell ref="E88:G88"/>
    <mergeCell ref="E82:G82"/>
    <mergeCell ref="A2:J2"/>
    <mergeCell ref="A42:J42"/>
    <mergeCell ref="E63:G63"/>
    <mergeCell ref="A47:J47"/>
    <mergeCell ref="A22:J22"/>
    <mergeCell ref="A62:J62"/>
    <mergeCell ref="E65:G65"/>
    <mergeCell ref="E74:G74"/>
    <mergeCell ref="A20:J20"/>
    <mergeCell ref="B87:D87"/>
    <mergeCell ref="A28:J28"/>
    <mergeCell ref="A30:J30"/>
    <mergeCell ref="A59:J59"/>
    <mergeCell ref="B65:D65"/>
    <mergeCell ref="A64:J64"/>
    <mergeCell ref="A51:J51"/>
    <mergeCell ref="A61:J61"/>
    <mergeCell ref="B63:D63"/>
    <mergeCell ref="A54:J54"/>
    <mergeCell ref="A41:J41"/>
    <mergeCell ref="B66:D66"/>
    <mergeCell ref="A27:J27"/>
    <mergeCell ref="B93:D93"/>
    <mergeCell ref="A101:J101"/>
    <mergeCell ref="F57:J57"/>
    <mergeCell ref="B77:D77"/>
    <mergeCell ref="E87:G87"/>
    <mergeCell ref="B86:D86"/>
    <mergeCell ref="A33:J33"/>
    <mergeCell ref="A85:J85"/>
    <mergeCell ref="B67:D67"/>
    <mergeCell ref="A8:J8"/>
    <mergeCell ref="A17:J17"/>
    <mergeCell ref="A53:J53"/>
    <mergeCell ref="A35:J35"/>
    <mergeCell ref="E90:G90"/>
    <mergeCell ref="B69:D69"/>
    <mergeCell ref="A10:J10"/>
    <mergeCell ref="E99:G99"/>
    <mergeCell ref="A19:J19"/>
    <mergeCell ref="A102:J102"/>
    <mergeCell ref="A9:J9"/>
    <mergeCell ref="A39:J39"/>
    <mergeCell ref="A48:J48"/>
    <mergeCell ref="E76:G76"/>
    <mergeCell ref="B95:D95"/>
    <mergeCell ref="A11:J11"/>
    <mergeCell ref="B89:D89"/>
    <mergeCell ref="A103:J103"/>
    <mergeCell ref="A45:J45"/>
    <mergeCell ref="E66:G66"/>
    <mergeCell ref="B79:D79"/>
    <mergeCell ref="E75:G75"/>
    <mergeCell ref="A78:J78"/>
    <mergeCell ref="E93:G93"/>
    <mergeCell ref="B97:D97"/>
    <mergeCell ref="E68:G68"/>
    <mergeCell ref="B81:D81"/>
    <mergeCell ref="F105:J105"/>
    <mergeCell ref="B90:D90"/>
    <mergeCell ref="A46:J46"/>
    <mergeCell ref="A37:J37"/>
    <mergeCell ref="E67:G67"/>
    <mergeCell ref="A21:J21"/>
    <mergeCell ref="A26:J26"/>
    <mergeCell ref="A71:J71"/>
    <mergeCell ref="E94:G94"/>
  </mergeCells>
  <pageMargins left="0.7" right="0.45" top="0.5" bottom="0.5" header="0.511811023622047" footer="0.511811023622047"/>
  <pageSetup orientation="portrait" paperSize="9" scale="93" fitToHeight="0" horizontalDpi="300" verticalDpi="300"/>
  <rowBreaks count="1" manualBreakCount="1">
    <brk id="57" min="0" max="16383" man="1"/>
  </rowBreaks>
</worksheet>
</file>

<file path=xl/worksheets/sheet15.xml><?xml version="1.0" encoding="utf-8"?>
<worksheet xmlns="http://schemas.openxmlformats.org/spreadsheetml/2006/main">
  <sheetPr>
    <tabColor rgb="FFFFC000"/>
    <outlinePr summaryBelow="1" summaryRight="1"/>
    <pageSetUpPr fitToPage="1"/>
  </sheetPr>
  <dimension ref="A2:J38"/>
  <sheetViews>
    <sheetView view="pageBreakPreview" zoomScale="115" zoomScaleNormal="100" zoomScaleSheetLayoutView="115" workbookViewId="0">
      <selection activeCell="F37" sqref="F37:J37"/>
    </sheetView>
  </sheetViews>
  <sheetFormatPr baseColWidth="8" defaultColWidth="8.7109375" defaultRowHeight="15"/>
  <cols>
    <col width="4.42578125" customWidth="1" min="1" max="1"/>
    <col width="13" customWidth="1" min="2" max="2"/>
    <col width="12" customWidth="1" min="3" max="3"/>
    <col width="4.28515625" customWidth="1" min="4" max="4"/>
    <col width="10" customWidth="1" min="5" max="7"/>
    <col width="9" customWidth="1" min="8" max="10"/>
  </cols>
  <sheetData>
    <row r="1" ht="7.5" customHeight="1"/>
    <row r="2" ht="18" customHeight="1">
      <c r="A2" s="8" t="inlineStr">
        <is>
          <t>CỘNG HÒA XÃ HỘI CHỦ NGHĨA VIỆT NAM</t>
        </is>
      </c>
    </row>
    <row r="3" ht="18" customHeight="1">
      <c r="A3" s="8" t="inlineStr">
        <is>
          <t>Độc lập - Tự do - Hạnh phúc</t>
        </is>
      </c>
    </row>
    <row r="4" ht="18" customHeight="1">
      <c r="A4" s="7" t="inlineStr">
        <is>
          <t>--------o0o--------</t>
        </is>
      </c>
    </row>
    <row r="5" ht="7.5" customHeight="1"/>
    <row r="6" ht="18" customHeight="1">
      <c r="A6" s="6">
        <f>"Hà Nội, "&amp;IF(LEN(DanhMuc!$E$17)=10,"ngày "&amp;LEFT(DanhMuc!$E$17,2)&amp;" tháng "&amp;MID(DanhMuc!$E$17,4,2)&amp;" năm "&amp;RIGHT(DanhMuc!$E$17,4),"ngày …... tháng …... năm 2026")</f>
        <v/>
      </c>
    </row>
    <row r="7" ht="18" customHeight="1">
      <c r="A7" s="5">
        <f>UPPER(DanhMuc!$C$17)</f>
        <v/>
      </c>
    </row>
    <row r="8" ht="18" customHeight="1">
      <c r="A8" s="27" t="inlineStr">
        <is>
          <t>LIFT HANDOVER CERTIFICATE</t>
        </is>
      </c>
    </row>
    <row r="9" ht="7.5" customHeight="1"/>
    <row r="10" ht="64.5" customHeight="1">
      <c r="A10" s="41" t="inlineStr">
        <is>
          <t>Công trình:
Project:
Số hợp đồng:
Contract no:</t>
        </is>
      </c>
      <c r="C10" s="38">
        <f>"TÒA NHÀ TRUNG TÂM ĐIỀU HÀNH – Khu trung tâm ĐHQGHN
Hợp đồng mua bán số "&amp;SoHD&amp;" ký ngày "&amp;NgayHD&amp;"
và "&amp;"Phụ lục Hợp đồng số "&amp;SoPL&amp;" ký ngày "&amp;NgayPL</f>
        <v/>
      </c>
    </row>
    <row r="11" ht="13.5" customHeight="1">
      <c r="A11" s="41" t="n"/>
      <c r="D11" s="41" t="n"/>
      <c r="E11" s="41" t="n"/>
    </row>
    <row r="12" ht="49.5" customHeight="1">
      <c r="A12" s="36" t="inlineStr">
        <is>
          <t>Bên Mua</t>
        </is>
      </c>
      <c r="D12" s="38" t="inlineStr">
        <is>
          <t>:</t>
        </is>
      </c>
      <c r="E12" s="38">
        <f>BenA_Ten&amp;"
Địa chỉ: "&amp;BenA_DiaChi</f>
        <v/>
      </c>
    </row>
    <row r="13" ht="18" customHeight="1">
      <c r="A13" s="39" t="inlineStr">
        <is>
          <t>Buyer</t>
        </is>
      </c>
      <c r="D13" s="41" t="n"/>
      <c r="E13" s="41">
        <f>"Đại diện Ông "&amp;BenA_PL&amp;" – "&amp;BenA_PL_CV</f>
        <v/>
      </c>
      <c r="J13" s="33" t="n"/>
    </row>
    <row r="14" ht="13.5" customHeight="1">
      <c r="A14" s="39" t="n"/>
      <c r="D14" s="41" t="n"/>
      <c r="E14" s="41" t="n"/>
    </row>
    <row r="15" ht="18" customHeight="1">
      <c r="A15" s="36" t="inlineStr">
        <is>
          <t>Bên Bán</t>
        </is>
      </c>
      <c r="D15" s="38" t="inlineStr">
        <is>
          <t>:</t>
        </is>
      </c>
      <c r="E15" s="38">
        <f>BenB_Ten</f>
        <v/>
      </c>
    </row>
    <row r="16" ht="33.75" customHeight="1">
      <c r="A16" s="39" t="inlineStr">
        <is>
          <t>Seller</t>
        </is>
      </c>
      <c r="D16" s="41" t="n"/>
      <c r="E16" s="41">
        <f>"Địa chỉ: "&amp;BenB_DiaChi</f>
        <v/>
      </c>
    </row>
    <row r="17" ht="18" customHeight="1">
      <c r="A17" s="41" t="n"/>
      <c r="D17" s="41" t="n"/>
      <c r="E17" s="41">
        <f>"Đại diện: Ông "&amp;BenB_PL&amp;" – "&amp;BenB_PL_CV</f>
        <v/>
      </c>
    </row>
    <row r="18" ht="33.75" customHeight="1">
      <c r="A18" s="5" t="inlineStr">
        <is>
          <t>Bên Mua và Bên bán thống nhất ký kết Biên bản bàn giao thang máy (sau đây gọi là "Biên bản bàn giao") theo các nội dung sau đây:</t>
        </is>
      </c>
    </row>
    <row r="19" ht="33.75" customHeight="1">
      <c r="A19" s="3" t="inlineStr">
        <is>
          <t>The Buyer and the Seller unanimously agree to enter the Lift hand-over Certificate (hereinafter referred as the “Certificate”) with the following provisions:</t>
        </is>
      </c>
    </row>
    <row r="20" ht="18" customHeight="1">
      <c r="A20" s="24" t="inlineStr">
        <is>
          <t>Tên thiết bị bàn giao: Thang máy Schindler 6000 mã hiệu thang máy số P3</t>
        </is>
      </c>
    </row>
    <row r="21" ht="18" customHeight="1">
      <c r="A21" s="29" t="inlineStr">
        <is>
          <t xml:space="preserve">Equipment will be handed over: Schindler 6000 No. P3 </t>
        </is>
      </c>
    </row>
    <row r="22" ht="18" customHeight="1">
      <c r="A22" s="24" t="inlineStr">
        <is>
          <t>Số lượng: 01</t>
        </is>
      </c>
    </row>
    <row r="23" ht="18" customHeight="1">
      <c r="A23" s="29" t="inlineStr">
        <is>
          <t>Quantity: 01</t>
        </is>
      </c>
    </row>
    <row r="24" ht="18" customHeight="1">
      <c r="A24" s="5" t="inlineStr">
        <is>
          <t xml:space="preserve">  Các thông số kỹ thuật chính:</t>
        </is>
      </c>
    </row>
    <row r="25" ht="18" customHeight="1">
      <c r="A25" s="24" t="inlineStr">
        <is>
          <t>Main Technical Spectification:</t>
        </is>
      </c>
    </row>
    <row r="26" ht="18" customHeight="1">
      <c r="A26" s="39" t="inlineStr">
        <is>
          <t>* Chủng loại / Model</t>
        </is>
      </c>
      <c r="G26" s="31" t="inlineStr">
        <is>
          <t>:</t>
        </is>
      </c>
      <c r="H26" s="41" t="inlineStr">
        <is>
          <t>Schindler 6000</t>
        </is>
      </c>
    </row>
    <row r="27" ht="18" customHeight="1">
      <c r="A27" s="39" t="inlineStr">
        <is>
          <t>* Số điểm dừng / No. of Stop</t>
        </is>
      </c>
      <c r="G27" s="31" t="inlineStr">
        <is>
          <t>:</t>
        </is>
      </c>
      <c r="H27" s="41" t="inlineStr">
        <is>
          <t>12</t>
        </is>
      </c>
    </row>
    <row r="28" ht="18" customHeight="1">
      <c r="A28" s="39" t="inlineStr">
        <is>
          <t>* Vận tốc (m/s) / Speed (m/s)</t>
        </is>
      </c>
      <c r="G28" s="31" t="inlineStr">
        <is>
          <t>:</t>
        </is>
      </c>
      <c r="H28" s="41" t="inlineStr">
        <is>
          <t>1.75</t>
        </is>
      </c>
    </row>
    <row r="29" ht="18" customHeight="1">
      <c r="A29" s="39" t="inlineStr">
        <is>
          <t>* Tải trọng (Kg) / Capacity (kg)</t>
        </is>
      </c>
      <c r="G29" s="31" t="inlineStr">
        <is>
          <t>:</t>
        </is>
      </c>
      <c r="H29" s="41" t="inlineStr">
        <is>
          <t>1000</t>
        </is>
      </c>
    </row>
    <row r="30" ht="52.5" customHeight="1">
      <c r="A30" s="5" t="inlineStr">
        <is>
          <t xml:space="preserve">Biên bản bào giao này xác nhận thang máy trên đã được lắp đặt hoàn chỉnh, đã được kiểm định an toàn lần đầu bởi cơ quan chức năng có thẩm quyền theo quy định kiểm định an toàn của Nhà Nước (Theo Giấy chứng nhận Kết quả Kiểm định cho Thang máy số ........ ngày .... tháng ... năm 202...). </t>
        </is>
      </c>
    </row>
    <row r="31" ht="64.5" customHeight="1">
      <c r="A31" s="5" t="inlineStr">
        <is>
          <t>Trong quá trình sử dụng thang máy, Bên mua phải có trách nhiệm bảo quản và hoàn toàn chịu trách nhiệm với các lỗi của người sử dụng gây ra như: nước tràn vào thang máy, chèn/chặn hay va đập làm móp méo/cong vênh/xước cửa tầng, Cabin thang máy hoặc cháy chập nguồn điện cung cấp, hư hỏng các thiết bị của thang máy do người sử dụng, v.v…</t>
        </is>
      </c>
    </row>
    <row r="32" ht="64.5" customHeight="1">
      <c r="A32" s="3" t="inlineStr">
        <is>
          <t>During the use of the lift, the Buyer must be responsible for preserving and being fully responsible for the user's errors, such as water overflowing into the lift, insertion /blocking or impact distorting /curving /scratching the door, or short- circuiting the power supply, and damage to lift equipment caused by users....</t>
        </is>
      </c>
    </row>
    <row r="33" ht="33.75" customHeight="1">
      <c r="A33" s="5" t="inlineStr">
        <is>
          <t>Biên bản này được lập thành 2 (hai) bản, mỗi bên giữ 1 (một) bản. Tiếng Việt sẽ được ưu tiên áp dụng để diễn giải.</t>
        </is>
      </c>
    </row>
    <row r="34" ht="33.75" customHeight="1">
      <c r="A34" s="3" t="inlineStr">
        <is>
          <t>This Certificate is written in 2 (Two) copies, each party keeps 1 (One) copy. Vietnamese version shall prevail to be used for the purpose of interpretation.</t>
        </is>
      </c>
    </row>
    <row r="35" ht="38.25" customHeight="1">
      <c r="A35" s="5" t="inlineStr">
        <is>
          <t>*Thời gian bảo hành, bảo trì miễn phí: theo điều 7 của Hợp đồng – …... tháng kể từ ngày Phát hành _________________________ – từ ngày …./...../202... cho đến hết ngày …./...../202…</t>
        </is>
      </c>
    </row>
    <row r="36" ht="33.75" customHeight="1">
      <c r="A36" s="3" t="inlineStr">
        <is>
          <t>Warranty and free maintainance period: follow the contrac ternm 7</t>
        </is>
      </c>
    </row>
    <row r="37" ht="33.75" customHeight="1">
      <c r="A37" s="23" t="inlineStr">
        <is>
          <t>ĐẠI DIỆN BÊN MUA/
On behalf of the Buyer</t>
        </is>
      </c>
      <c r="F37" s="23" t="inlineStr">
        <is>
          <t>ĐẠI DIỆN BÊN BÁN/
On behalf of the Seller</t>
        </is>
      </c>
    </row>
    <row r="38" ht="13.5" customHeight="1">
      <c r="A38" s="7" t="n"/>
      <c r="F38" s="7" t="n"/>
    </row>
    <row r="39" ht="7.5" customHeight="1"/>
  </sheetData>
  <mergeCells count="49">
    <mergeCell ref="A23:J23"/>
    <mergeCell ref="A32:J32"/>
    <mergeCell ref="E12:I12"/>
    <mergeCell ref="A8:J8"/>
    <mergeCell ref="A22:J22"/>
    <mergeCell ref="A27:F27"/>
    <mergeCell ref="A35:J35"/>
    <mergeCell ref="A4:J4"/>
    <mergeCell ref="A20:J20"/>
    <mergeCell ref="A12:C12"/>
    <mergeCell ref="A26:F26"/>
    <mergeCell ref="E14:I14"/>
    <mergeCell ref="E17:I17"/>
    <mergeCell ref="A19:J19"/>
    <mergeCell ref="A31:J31"/>
    <mergeCell ref="H28:J28"/>
    <mergeCell ref="A14:C14"/>
    <mergeCell ref="A30:J30"/>
    <mergeCell ref="H27:J27"/>
    <mergeCell ref="A34:J34"/>
    <mergeCell ref="A17:C17"/>
    <mergeCell ref="E13:I13"/>
    <mergeCell ref="A37:E37"/>
    <mergeCell ref="A24:J24"/>
    <mergeCell ref="A29:F29"/>
    <mergeCell ref="A13:C13"/>
    <mergeCell ref="A36:J36"/>
    <mergeCell ref="A28:F28"/>
    <mergeCell ref="E15:I15"/>
    <mergeCell ref="A6:J6"/>
    <mergeCell ref="F38:J38"/>
    <mergeCell ref="E11:I11"/>
    <mergeCell ref="A7:J7"/>
    <mergeCell ref="C10:I10"/>
    <mergeCell ref="H26:J26"/>
    <mergeCell ref="A15:C15"/>
    <mergeCell ref="A25:J25"/>
    <mergeCell ref="H29:J29"/>
    <mergeCell ref="A11:C11"/>
    <mergeCell ref="F37:J37"/>
    <mergeCell ref="A38:E38"/>
    <mergeCell ref="E16:I16"/>
    <mergeCell ref="A18:J18"/>
    <mergeCell ref="A10:B10"/>
    <mergeCell ref="A21:J21"/>
    <mergeCell ref="A3:J3"/>
    <mergeCell ref="A2:J2"/>
    <mergeCell ref="A16:C16"/>
    <mergeCell ref="A33:J33"/>
  </mergeCells>
  <pageMargins left="0.7" right="0.45" top="0.5" bottom="0.5" header="0.511811023622047" footer="0.511811023622047"/>
  <pageSetup orientation="portrait" paperSize="9" scale="9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2026-07-18T01:55:54Z</dcterms:created>
  <dcterms:modified xsi:type="dcterms:W3CDTF">2026-07-30T16:37:05Z</dcterms:modified>
  <cp:lastModifiedBy>Thanh Tung Le</cp:lastModifiedBy>
  <cp:revision>0</cp:revision>
</cp:coreProperties>
</file>